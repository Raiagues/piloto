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8e1608f76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96b40b249c1489c"/>
    <x:sheet xmlns:r="http://schemas.openxmlformats.org/officeDocument/2006/relationships" name="Casos de Teste" sheetId="2" r:id="R5149faffd599408b"/>
    <x:sheet xmlns:r="http://schemas.openxmlformats.org/officeDocument/2006/relationships" name="Resultados Detalhados" sheetId="3" r:id="R4b09a0d4494a4124"/>
    <x:sheet xmlns:r="http://schemas.openxmlformats.org/officeDocument/2006/relationships" name="Teste 001 v1" sheetId="4" r:id="Rb958a7a712e24cd3"/>
    <x:sheet xmlns:r="http://schemas.openxmlformats.org/officeDocument/2006/relationships" name="Teste 001 v2" sheetId="5" r:id="R541351d592b34257"/>
    <x:sheet xmlns:r="http://schemas.openxmlformats.org/officeDocument/2006/relationships" name="Teste 002 v2" sheetId="6" r:id="R4917972070d54b85"/>
    <x:sheet xmlns:r="http://schemas.openxmlformats.org/officeDocument/2006/relationships" name="Teste 003 v2" sheetId="7" r:id="R4eefead045164a46"/>
    <x:sheet xmlns:r="http://schemas.openxmlformats.org/officeDocument/2006/relationships" name="Teste 004 v2" sheetId="8" r:id="R0bdb0bfca30c4f07"/>
    <x:sheet xmlns:r="http://schemas.openxmlformats.org/officeDocument/2006/relationships" name="Teste 005 v2" sheetId="9" r:id="R1ef02d1cff934ae1"/>
    <x:sheet xmlns:r="http://schemas.openxmlformats.org/officeDocument/2006/relationships" name="Teste 006 v2" sheetId="10" r:id="R55214b4859e242e6"/>
    <x:sheet xmlns:r="http://schemas.openxmlformats.org/officeDocument/2006/relationships" name="Teste 007 v2" sheetId="11" r:id="R0c9ba56f8a9a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0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634b2136f448e" /><Relationship Type="http://schemas.openxmlformats.org/officeDocument/2006/relationships/theme" Target="/xl/theme/theme1.xml" Id="R6a1deab65ddc49b6" /><Relationship Type="http://schemas.openxmlformats.org/officeDocument/2006/relationships/sharedStrings" Target="/xl/sharedStrings.xml" Id="R1df72875bd1347a8" /><Relationship Type="http://schemas.openxmlformats.org/officeDocument/2006/relationships/worksheet" Target="/xl/worksheets/sheet1.xml" Id="R496b40b249c1489c" /><Relationship Type="http://schemas.openxmlformats.org/officeDocument/2006/relationships/worksheet" Target="/xl/worksheets/sheet2.xml" Id="R5149faffd599408b" /><Relationship Type="http://schemas.openxmlformats.org/officeDocument/2006/relationships/worksheet" Target="/xl/worksheets/sheet3.xml" Id="R4b09a0d4494a4124" /><Relationship Type="http://schemas.openxmlformats.org/officeDocument/2006/relationships/worksheet" Target="/xl/worksheets/sheet4.xml" Id="Rb958a7a712e24cd3" /><Relationship Type="http://schemas.openxmlformats.org/officeDocument/2006/relationships/worksheet" Target="/xl/worksheets/sheet5.xml" Id="R541351d592b34257" /><Relationship Type="http://schemas.openxmlformats.org/officeDocument/2006/relationships/worksheet" Target="/xl/worksheets/sheet6.xml" Id="R4917972070d54b85" /><Relationship Type="http://schemas.openxmlformats.org/officeDocument/2006/relationships/worksheet" Target="/xl/worksheets/sheet7.xml" Id="R4eefead045164a46" /><Relationship Type="http://schemas.openxmlformats.org/officeDocument/2006/relationships/worksheet" Target="/xl/worksheets/sheet8.xml" Id="R0bdb0bfca30c4f07" /><Relationship Type="http://schemas.openxmlformats.org/officeDocument/2006/relationships/worksheet" Target="/xl/worksheets/sheet9.xml" Id="R1ef02d1cff934ae1" /><Relationship Type="http://schemas.openxmlformats.org/officeDocument/2006/relationships/worksheet" Target="/xl/worksheets/sheet10.xml" Id="R55214b4859e242e6" /><Relationship Type="http://schemas.openxmlformats.org/officeDocument/2006/relationships/worksheet" Target="/xl/worksheets/sheet11.xml" Id="R0c9ba56f8a9a4940" /></Relationships>
</file>

<file path=xl/tables/table1.xml><?xml version="1.0" encoding="utf-8"?>
<x:table xmlns:x="http://schemas.openxmlformats.org/spreadsheetml/2006/main" id="1" name="JevTestCases" displayName="JevTestCases" ref="A1:K2" headerRowCount="1" totalsRowCount="0" totalsRowShown="0">
  <x:tableColumns count="11">
    <x:tableColumn id="1" name="Test_ID"/>
    <x:tableColumn id="2" name="Date"/>
    <x:tableColumn id="3" name="Model"/>
    <x:tableColumn id="4" name="Question_Version"/>
    <x:tableColumn id="5" name="Recent_Context"/>
    <x:tableColumn id="6" name="Current_Utterance"/>
    <x:tableColumn id="7" name="State_JSON"/>
    <x:tableColumn id="8" name="Scenario_Label"/>
    <x:tableColumn id="9" name="Expected_Summary"/>
    <x:tableColumn id="10" name="Overall_Status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evDetailedResults" displayName="JevDetailedResults" ref="A1:T9" headerRowCount="1" totalsRowCount="0" totalsRowShown="0">
  <x:tableColumns count="20">
    <x:tableColumn id="1" name="Test_ID"/>
    <x:tableColumn id="2" name="Date"/>
    <x:tableColumn id="3" name="Model"/>
    <x:tableColumn id="4" name="Question_Version"/>
    <x:tableColumn id="5" name="Recent_Context"/>
    <x:tableColumn id="6" name="Current_Utterance"/>
    <x:tableColumn id="7" name="State_JSON"/>
    <x:tableColumn id="8" name="Question_Key"/>
    <x:tableColumn id="9" name="Primitive"/>
    <x:tableColumn id="10" name="Instructions"/>
    <x:tableColumn id="11" name="Criteria"/>
    <x:tableColumn id="12" name="Expected_Primary"/>
    <x:tableColumn id="13" name="Expected_Reason"/>
    <x:tableColumn id="14" name="Actual_Primary"/>
    <x:tableColumn id="15" name="Actual_Value"/>
    <x:tableColumn id="16" name="Full_Distribution"/>
    <x:tableColumn id="17" name="Confidence"/>
    <x:tableColumn id="18" name="Assessment"/>
    <x:tableColumn id="19" name="Failure_Mode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a7ff4e67d344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f5fcc5cfe0481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</x:cols>
  <x:sheetData>
    <x:row r="1" ht="30" customHeight="1">
      <x:c r="A1" s="17" t="str">
        <x:v>JEV Test Results</x:v>
      </x:c>
      <x:c r="B1" s="17"/>
      <x:c r="C1" s="17"/>
      <x:c r="D1" s="17"/>
      <x:c r="E1" s="17"/>
      <x:c r="F1" s="17"/>
    </x:row>
    <x:row r="2">
      <x:c r="D2" s="51" t="str">
        <x:v>v2 question performance</x:v>
      </x:c>
      <x:c r="E2" s="51"/>
      <x:c r="F2" s="51"/>
      <x:c r="G2" s="51"/>
      <x:c r="H2" s="51"/>
      <x:c r="I2" s="51"/>
    </x:row>
    <x:row r="3">
      <x:c r="A3" s="50" t="str">
        <x:v>Metric</x:v>
      </x:c>
      <x:c r="B3" s="50" t="str">
        <x:v>Value</x:v>
      </x:c>
      <x:c r="C3" s="24"/>
      <x:c r="D3" s="50" t="str">
        <x:v>Question</x:v>
      </x:c>
      <x:c r="E3" s="50" t="str">
        <x:v>Completed</x:v>
      </x:c>
      <x:c r="F3" s="50" t="str">
        <x:v>Aligned</x:v>
      </x:c>
      <x:c r="G3" s="50" t="str">
        <x:v>Failed</x:v>
      </x:c>
      <x:c r="H3" s="50" t="str">
        <x:v>Ambiguous</x:v>
      </x:c>
      <x:c r="I3" s="50" t="str">
        <x:v>Alignment</x:v>
      </x:c>
    </x:row>
    <x:row r="4">
      <x:c r="A4" s="25" t="str">
        <x:v>Test runs</x:v>
      </x:c>
      <x:c r="B4" s="25" t="n">
        <x:f>COUNTA('Casos de Teste'!A2:A1000)</x:f>
        <x:v>8</x:v>
      </x:c>
      <x:c r="C4" s="24"/>
      <x:c r="D4" s="25" t="str">
        <x:v>should_track</x:v>
      </x:c>
      <x:c r="E4" s="25" t="n">
        <x:f>COUNTIFS('Resultados Detalhados'!D2:D1000,"v2",'Resultados Detalhados'!H2:H1000,D4,'Resultados Detalhados'!R2:R1000,"&lt;&gt;PENDENTE")</x:f>
        <x:v>7</x:v>
      </x:c>
      <x:c r="F4" s="25" t="n">
        <x:f>COUNTIFS('Resultados Detalhados'!D2:D1000,"v2",'Resultados Detalhados'!H2:H1000,D4,'Resultados Detalhados'!R2:R1000,"ALINHADO")</x:f>
        <x:v>6</x:v>
      </x:c>
      <x:c r="G4" s="12" t="n">
        <x:f>COUNTIFS('Resultados Detalhados'!D2:D1000,"v2",'Resultados Detalhados'!H2:H1000,D4,'Resultados Detalhados'!R2:R1000,"FALHA")</x:f>
        <x:v>1</x:v>
      </x:c>
      <x:c r="H4" s="12" t="n">
        <x:f>COUNTIFS('Resultados Detalhados'!D2:D1000,"v2",'Resultados Detalhados'!H2:H1000,D4,'Resultados Detalhados'!R2:R1000,"AMBÍGUO")</x:f>
        <x:v>0</x:v>
      </x:c>
      <x:c r="I4" s="22" t="n">
        <x:f>IF(E4=0,0,F4/E4)</x:f>
        <x:v>0.8571428571428571</x:v>
      </x:c>
    </x:row>
    <x:row r="5">
      <x:c r="A5" s="25" t="str">
        <x:v>Completed question results</x:v>
      </x:c>
      <x:c r="B5" s="25" t="n">
        <x:f>COUNTIFS('Resultados Detalhados'!H2:H1000,"&lt;&gt;",'Resultados Detalhados'!R2:R1000,"&lt;&gt;PENDENTE")</x:f>
        <x:v>85</x:v>
      </x:c>
      <x:c r="C5" s="24"/>
      <x:c r="D5" s="25" t="str">
        <x:v>event_type</x:v>
      </x:c>
      <x:c r="E5" s="25" t="n">
        <x:f>COUNTIFS('Resultados Detalhados'!D2:D1000,"v2",'Resultados Detalhados'!H2:H1000,D5,'Resultados Detalhados'!R2:R1000,"&lt;&gt;PENDENTE")</x:f>
        <x:v>7</x:v>
      </x:c>
      <x:c r="F5" s="25" t="n">
        <x:f>COUNTIFS('Resultados Detalhados'!D2:D1000,"v2",'Resultados Detalhados'!H2:H1000,D5,'Resultados Detalhados'!R2:R1000,"ALINHADO")</x:f>
        <x:v>7</x:v>
      </x:c>
      <x:c r="G5" s="12" t="n">
        <x:f>COUNTIFS('Resultados Detalhados'!D2:D1000,"v2",'Resultados Detalhados'!H2:H1000,D5,'Resultados Detalhados'!R2:R1000,"FALHA")</x:f>
        <x:v>0</x:v>
      </x:c>
      <x:c r="H5" s="12" t="n">
        <x:f>COUNTIFS('Resultados Detalhados'!D2:D1000,"v2",'Resultados Detalhados'!H2:H1000,D5,'Resultados Detalhados'!R2:R1000,"AMBÍGUO")</x:f>
        <x:v>0</x:v>
      </x:c>
      <x:c r="I5" s="22" t="n">
        <x:f>IF(E5=0,0,F5/E5)</x:f>
        <x:v>1</x:v>
      </x:c>
    </x:row>
    <x:row r="6">
      <x:c r="A6" s="25" t="str">
        <x:v>Pending question results</x:v>
      </x:c>
      <x:c r="B6" s="25" t="n">
        <x:f>COUNTIFS('Resultados Detalhados'!H2:H1000,"&lt;&gt;",'Resultados Detalhados'!R2:R1000,"PENDENTE")</x:f>
        <x:v>0</x:v>
      </x:c>
      <x:c r="C6" s="24"/>
      <x:c r="D6" s="25" t="str">
        <x:v>test_is_proposed</x:v>
      </x:c>
      <x:c r="E6" s="25" t="n">
        <x:f>COUNTIFS('Resultados Detalhados'!D2:D1000,"v2",'Resultados Detalhados'!H2:H1000,D6,'Resultados Detalhados'!R2:R1000,"&lt;&gt;PENDENTE")</x:f>
        <x:v>7</x:v>
      </x:c>
      <x:c r="F6" s="25" t="n">
        <x:f>COUNTIFS('Resultados Detalhados'!D2:D1000,"v2",'Resultados Detalhados'!H2:H1000,D6,'Resultados Detalhados'!R2:R1000,"ALINHADO")</x:f>
        <x:v>7</x:v>
      </x:c>
      <x:c r="G6" s="12" t="n">
        <x:f>COUNTIFS('Resultados Detalhados'!D2:D1000,"v2",'Resultados Detalhados'!H2:H1000,D6,'Resultados Detalhados'!R2:R1000,"FALHA")</x:f>
        <x:v>0</x:v>
      </x:c>
      <x:c r="H6" s="12" t="n">
        <x:f>COUNTIFS('Resultados Detalhados'!D2:D1000,"v2",'Resultados Detalhados'!H2:H1000,D6,'Resultados Detalhados'!R2:R1000,"AMBÍGUO")</x:f>
        <x:v>0</x:v>
      </x:c>
      <x:c r="I6" s="22" t="n">
        <x:f>IF(E6=0,0,F6/E6)</x:f>
        <x:v>1</x:v>
      </x:c>
    </x:row>
    <x:row r="7">
      <x:c r="A7" s="25" t="str">
        <x:v>Aligned results</x:v>
      </x:c>
      <x:c r="B7" s="26" t="n">
        <x:f>COUNTIFS('Resultados Detalhados'!H2:H1000,"&lt;&gt;",'Resultados Detalhados'!R2:R1000,"ALINHADO")</x:f>
        <x:v>79</x:v>
      </x:c>
      <x:c r="C7" s="24"/>
      <x:c r="D7" s="25" t="str">
        <x:v>decision_is_final</x:v>
      </x:c>
      <x:c r="E7" s="25" t="n">
        <x:f>COUNTIFS('Resultados Detalhados'!D2:D1000,"v2",'Resultados Detalhados'!H2:H1000,D7,'Resultados Detalhados'!R2:R1000,"&lt;&gt;PENDENTE")</x:f>
        <x:v>7</x:v>
      </x:c>
      <x:c r="F7" s="25" t="n">
        <x:f>COUNTIFS('Resultados Detalhados'!D2:D1000,"v2",'Resultados Detalhados'!H2:H1000,D7,'Resultados Detalhados'!R2:R1000,"ALINHADO")</x:f>
        <x:v>7</x:v>
      </x:c>
      <x:c r="G7" s="12" t="n">
        <x:f>COUNTIFS('Resultados Detalhados'!D2:D1000,"v2",'Resultados Detalhados'!H2:H1000,D7,'Resultados Detalhados'!R2:R1000,"FALHA")</x:f>
        <x:v>0</x:v>
      </x:c>
      <x:c r="H7" s="12" t="n">
        <x:f>COUNTIFS('Resultados Detalhados'!D2:D1000,"v2",'Resultados Detalhados'!H2:H1000,D7,'Resultados Detalhados'!R2:R1000,"AMBÍGUO")</x:f>
        <x:v>0</x:v>
      </x:c>
      <x:c r="I7" s="22" t="n">
        <x:f>IF(E7=0,0,F7/E7)</x:f>
        <x:v>1</x:v>
      </x:c>
    </x:row>
    <x:row r="8">
      <x:c r="A8" s="24" t="str">
        <x:v>Failed/ambiguous results</x:v>
      </x:c>
      <x:c r="B8" s="24" t="n">
        <x:f>COUNTIFS('Resultados Detalhados'!H2:H1000,"&lt;&gt;",'Resultados Detalhados'!R2:R1000,"FALHA")+COUNTIFS('Resultados Detalhados'!H2:H1000,"&lt;&gt;",'Resultados Detalhados'!R2:R1000,"AMBÍGUO")</x:f>
        <x:v>6</x:v>
      </x:c>
      <x:c r="C8" s="24"/>
      <x:c r="D8" s="25" t="str">
        <x:v>pending_decision</x:v>
      </x:c>
      <x:c r="E8" s="25" t="n">
        <x:f>COUNTIFS('Resultados Detalhados'!D2:D1000,"v2",'Resultados Detalhados'!H2:H1000,D8,'Resultados Detalhados'!R2:R1000,"&lt;&gt;PENDENTE")</x:f>
        <x:v>7</x:v>
      </x:c>
      <x:c r="F8" s="25" t="n">
        <x:f>COUNTIFS('Resultados Detalhados'!D2:D1000,"v2",'Resultados Detalhados'!H2:H1000,D8,'Resultados Detalhados'!R2:R1000,"ALINHADO")</x:f>
        <x:v>4</x:v>
      </x:c>
      <x:c r="G8" s="12" t="n">
        <x:f>COUNTIFS('Resultados Detalhados'!D2:D1000,"v2",'Resultados Detalhados'!H2:H1000,D8,'Resultados Detalhados'!R2:R1000,"FALHA")</x:f>
        <x:v>2</x:v>
      </x:c>
      <x:c r="H8" s="12" t="n">
        <x:f>COUNTIFS('Resultados Detalhados'!D2:D1000,"v2",'Resultados Detalhados'!H2:H1000,D8,'Resultados Detalhados'!R2:R1000,"AMBÍGUO")</x:f>
        <x:v>1</x:v>
      </x:c>
      <x:c r="I8" s="22" t="n">
        <x:f>IF(E8=0,0,F8/E8)</x:f>
        <x:v>0.5714285714285714</x:v>
      </x:c>
    </x:row>
    <x:row r="9">
      <x:c r="A9" s="24" t="str">
        <x:v>Alignment rate on completed</x:v>
      </x:c>
      <x:c r="B9" s="38" t="n">
        <x:f>IF(B5=0,0,B7/B5)</x:f>
        <x:v>0.9294117647058824</x:v>
      </x:c>
      <x:c r="C9" s="24"/>
      <x:c r="D9" s="25" t="str">
        <x:v>creates_action_item</x:v>
      </x:c>
      <x:c r="E9" s="25" t="n">
        <x:f>COUNTIFS('Resultados Detalhados'!D2:D1000,"v2",'Resultados Detalhados'!H2:H1000,D9,'Resultados Detalhados'!R2:R1000,"&lt;&gt;PENDENTE")</x:f>
        <x:v>7</x:v>
      </x:c>
      <x:c r="F9" s="25" t="n">
        <x:f>COUNTIFS('Resultados Detalhados'!D2:D1000,"v2",'Resultados Detalhados'!H2:H1000,D9,'Resultados Detalhados'!R2:R1000,"ALINHADO")</x:f>
        <x:v>7</x:v>
      </x:c>
      <x:c r="G9" s="12" t="n">
        <x:f>COUNTIFS('Resultados Detalhados'!D2:D1000,"v2",'Resultados Detalhados'!H2:H1000,D9,'Resultados Detalhados'!R2:R1000,"FALHA")</x:f>
        <x:v>0</x:v>
      </x:c>
      <x:c r="H9" s="12" t="n">
        <x:f>COUNTIFS('Resultados Detalhados'!D2:D1000,"v2",'Resultados Detalhados'!H2:H1000,D9,'Resultados Detalhados'!R2:R1000,"AMBÍGUO")</x:f>
        <x:v>0</x:v>
      </x:c>
      <x:c r="I9" s="22" t="n">
        <x:f>IF(E9=0,0,F9/E9)</x:f>
        <x:v>1</x:v>
      </x:c>
    </x:row>
    <x:row r="10">
      <x:c r="A10" s="24"/>
      <x:c r="B10" s="24"/>
      <x:c r="C10" s="24"/>
      <x:c r="D10" s="25" t="str">
        <x:v>next_step_commitment</x:v>
      </x:c>
      <x:c r="E10" s="25" t="n">
        <x:f>COUNTIFS('Resultados Detalhados'!D2:D1000,"v2",'Resultados Detalhados'!H2:H1000,D10,'Resultados Detalhados'!R2:R1000,"&lt;&gt;PENDENTE")</x:f>
        <x:v>7</x:v>
      </x:c>
      <x:c r="F10" s="25" t="n">
        <x:f>COUNTIFS('Resultados Detalhados'!D2:D1000,"v2",'Resultados Detalhados'!H2:H1000,D10,'Resultados Detalhados'!R2:R1000,"ALINHADO")</x:f>
        <x:v>7</x:v>
      </x:c>
      <x:c r="G10" s="12" t="n">
        <x:f>COUNTIFS('Resultados Detalhados'!D2:D1000,"v2",'Resultados Detalhados'!H2:H1000,D10,'Resultados Detalhados'!R2:R1000,"FALHA")</x:f>
        <x:v>0</x:v>
      </x:c>
      <x:c r="H10" s="12" t="n">
        <x:f>COUNTIFS('Resultados Detalhados'!D2:D1000,"v2",'Resultados Detalhados'!H2:H1000,D10,'Resultados Detalhados'!R2:R1000,"AMBÍGUO")</x:f>
        <x:v>0</x:v>
      </x:c>
      <x:c r="I10" s="22" t="n">
        <x:f>IF(E10=0,0,F10/E10)</x:f>
        <x:v>1</x:v>
      </x:c>
    </x:row>
    <x:row r="11">
      <x:c r="A11" s="24"/>
      <x:c r="B11" s="24"/>
      <x:c r="C11" s="24"/>
      <x:c r="D11" s="25" t="str">
        <x:v>change_commitment</x:v>
      </x:c>
      <x:c r="E11" s="25" t="n">
        <x:f>COUNTIFS('Resultados Detalhados'!D2:D1000,"v2",'Resultados Detalhados'!H2:H1000,D11,'Resultados Detalhados'!R2:R1000,"&lt;&gt;PENDENTE")</x:f>
        <x:v>7</x:v>
      </x:c>
      <x:c r="F11" s="25" t="n">
        <x:f>COUNTIFS('Resultados Detalhados'!D2:D1000,"v2",'Resultados Detalhados'!H2:H1000,D11,'Resultados Detalhados'!R2:R1000,"ALINHADO")</x:f>
        <x:v>6</x:v>
      </x:c>
      <x:c r="G11" s="12" t="n">
        <x:f>COUNTIFS('Resultados Detalhados'!D2:D1000,"v2",'Resultados Detalhados'!H2:H1000,D11,'Resultados Detalhados'!R2:R1000,"FALHA")</x:f>
        <x:v>1</x:v>
      </x:c>
      <x:c r="H11" s="12" t="n">
        <x:f>COUNTIFS('Resultados Detalhados'!D2:D1000,"v2",'Resultados Detalhados'!H2:H1000,D11,'Resultados Detalhados'!R2:R1000,"AMBÍGUO")</x:f>
        <x:v>0</x:v>
      </x:c>
      <x:c r="I11" s="22" t="n">
        <x:f>IF(E11=0,0,F11/E11)</x:f>
        <x:v>0.8571428571428571</x:v>
      </x:c>
    </x:row>
    <x:row r="12">
      <x:c r="D12" s="12" t="str">
        <x:v>project_impact</x:v>
      </x:c>
      <x:c r="E12" s="12" t="n">
        <x:f>COUNTIFS('Resultados Detalhados'!D2:D1000,"v2",'Resultados Detalhados'!H2:H1000,D12,'Resultados Detalhados'!R2:R1000,"&lt;&gt;PENDENTE")</x:f>
        <x:v>7</x:v>
      </x:c>
      <x:c r="F12" s="12" t="n">
        <x:f>COUNTIFS('Resultados Detalhados'!D2:D1000,"v2",'Resultados Detalhados'!H2:H1000,D12,'Resultados Detalhados'!R2:R1000,"ALINHADO")</x:f>
        <x:v>6</x:v>
      </x:c>
      <x:c r="G12" s="12" t="n">
        <x:f>COUNTIFS('Resultados Detalhados'!D2:D1000,"v2",'Resultados Detalhados'!H2:H1000,D12,'Resultados Detalhados'!R2:R1000,"FALHA")</x:f>
        <x:v>1</x:v>
      </x:c>
      <x:c r="H12" s="12" t="n">
        <x:f>COUNTIFS('Resultados Detalhados'!D2:D1000,"v2",'Resultados Detalhados'!H2:H1000,D12,'Resultados Detalhados'!R2:R1000,"AMBÍGUO")</x:f>
        <x:v>0</x:v>
      </x:c>
      <x:c r="I12" s="22" t="n">
        <x:f>IF(E12=0,0,F12/E12)</x:f>
        <x:v>0.8571428571428571</x:v>
      </x:c>
    </x:row>
    <x:row r="13">
      <x:c r="D13" s="12" t="str">
        <x:v>primary_affected_area</x:v>
      </x:c>
      <x:c r="E13" s="12" t="n">
        <x:f>COUNTIFS('Resultados Detalhados'!D2:D1000,"v2",'Resultados Detalhados'!H2:H1000,D13,'Resultados Detalhados'!R2:R1000,"&lt;&gt;PENDENTE")</x:f>
        <x:v>7</x:v>
      </x:c>
      <x:c r="F13" s="12" t="n">
        <x:f>COUNTIFS('Resultados Detalhados'!D2:D1000,"v2",'Resultados Detalhados'!H2:H1000,D13,'Resultados Detalhados'!R2:R1000,"ALINHADO")</x:f>
        <x:v>7</x:v>
      </x:c>
      <x:c r="G13" s="12" t="n">
        <x:f>COUNTIFS('Resultados Detalhados'!D2:D1000,"v2",'Resultados Detalhados'!H2:H1000,D13,'Resultados Detalhados'!R2:R1000,"FALHA")</x:f>
        <x:v>0</x:v>
      </x:c>
      <x:c r="H13" s="12" t="n">
        <x:f>COUNTIFS('Resultados Detalhados'!D2:D1000,"v2",'Resultados Detalhados'!H2:H1000,D13,'Resultados Detalhados'!R2:R1000,"AMBÍGUO")</x:f>
        <x:v>0</x:v>
      </x:c>
      <x:c r="I13" s="22" t="n">
        <x:f>IF(E13=0,0,F13/E13)</x:f>
        <x:v>1</x:v>
      </x:c>
    </x:row>
    <x:row r="14">
      <x:c r="D14" s="12" t="str">
        <x:v>requires_followup</x:v>
      </x:c>
      <x:c r="E14" s="12" t="n">
        <x:f>COUNTIFS('Resultados Detalhados'!D2:D1000,"v2",'Resultados Detalhados'!H2:H1000,D14,'Resultados Detalhados'!R2:R1000,"&lt;&gt;PENDENTE")</x:f>
        <x:v>7</x:v>
      </x:c>
      <x:c r="F14" s="12" t="n">
        <x:f>COUNTIFS('Resultados Detalhados'!D2:D1000,"v2",'Resultados Detalhados'!H2:H1000,D14,'Resultados Detalhados'!R2:R1000,"ALINHADO")</x:f>
        <x:v>7</x:v>
      </x:c>
      <x:c r="G14" s="12" t="n">
        <x:f>COUNTIFS('Resultados Detalhados'!D2:D1000,"v2",'Resultados Detalhados'!H2:H1000,D14,'Resultados Detalhados'!R2:R1000,"FALHA")</x:f>
        <x:v>0</x:v>
      </x:c>
      <x:c r="H14" s="12" t="n">
        <x:f>COUNTIFS('Resultados Detalhados'!D2:D1000,"v2",'Resultados Detalhados'!H2:H1000,D14,'Resultados Detalhados'!R2:R1000,"AMBÍGUO")</x:f>
        <x:v>0</x:v>
      </x:c>
      <x:c r="I14" s="22" t="n">
        <x:f>IF(E14=0,0,F14/E14)</x:f>
        <x:v>1</x:v>
      </x:c>
    </x:row>
  </x:sheetData>
  <x:mergeCells>
    <x:mergeCell ref="A1:F1"/>
    <x:mergeCell ref="D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65" hidden="0" customWidth="1"/>
    <x:col min="8" max="8" width="34" hidden="0" customWidth="1"/>
    <x:col min="9" max="9" width="48" hidden="0" customWidth="1"/>
    <x:col min="10" max="10" width="16" hidden="0" customWidth="1"/>
    <x:col min="11" max="11" width="36" hidden="0" customWidth="1"/>
  </x:cols>
  <x:sheetData>
    <x:row r="1">
      <x:c r="A1" s="6" t="str">
        <x:v>Test_ID</x:v>
      </x:c>
      <x:c r="B1" s="6" t="str">
        <x:v>Date</x:v>
      </x:c>
      <x:c r="C1" s="6" t="str">
        <x:v>Model</x:v>
      </x:c>
      <x:c r="D1" s="6" t="str">
        <x:v>Question_Version</x:v>
      </x:c>
      <x:c r="E1" s="6" t="str">
        <x:v>Recent_Context</x:v>
      </x:c>
      <x:c r="F1" s="6" t="str">
        <x:v>Current_Utterance</x:v>
      </x:c>
      <x:c r="G1" s="6" t="str">
        <x:v>State_JSON</x:v>
      </x:c>
      <x:c r="H1" s="6" t="str">
        <x:v>Scenario_Label</x:v>
      </x:c>
      <x:c r="I1" s="6" t="str">
        <x:v>Expected_Summary</x:v>
      </x:c>
      <x:c r="J1" s="6" t="str">
        <x:v>Overall_Status</x:v>
      </x:c>
      <x:c r="K1" s="6" t="str">
        <x:v>Notes</x:v>
      </x:c>
    </x:row>
    <x:row r="2" ht="90" customHeight="1">
      <x:c r="A2" s="14" t="str">
        <x:v>JEV-003-001</x:v>
      </x:c>
      <x:c r="B2" s="14" t="str">
        <x:v>2026-10-03</x:v>
      </x:c>
      <x:c r="C2" s="14" t="str">
        <x:v>jev-latest</x:v>
      </x:c>
      <x:c r="D2" s="14" t="str">
        <x:v>v1</x:v>
      </x:c>
      <x:c r="E2" s="14" t="str">
        <x:v>Speaker A: We have been seeing too much deformation around this bracket.
Speaker B: The current part is 3 mm aluminum.
Speaker A: We haven't tested another thickness yet.</x:v>
      </x:c>
      <x:c r="F2" s="14" t="str">
        <x:v>Speaker C: Let's make one 4 mm version for the next prototype and compare both before we decide whether to change the design.</x:v>
      </x:c>
      <x:c r="G2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2" s="14" t="str">
        <x:v>Prototype thickness test before design decision</x:v>
      </x:c>
      <x:c r="I2" s="14" t="str">
        <x:v>Trackable test proposal. Not a final design decision. Moderate project impact. Follow-up required.</x:v>
      </x:c>
      <x:c r="J2" s="14" t="str">
        <x:v>ALINHADO</x:v>
      </x:c>
      <x:c r="K2" s="14" t="str"/>
    </x:row>
    <x:row r="3" ht="90" customHeight="1">
      <x:c r="A3" s="14" t="str">
        <x:v>JEV-003-001</x:v>
      </x:c>
      <x:c r="B3" s="14" t="str">
        <x:v>2026-10-03</x:v>
      </x:c>
      <x:c r="C3" s="14" t="str">
        <x:v>jev-latest</x:v>
      </x:c>
      <x:c r="D3" s="14" t="str">
        <x:v>v2</x:v>
      </x:c>
      <x:c r="E3" s="14" t="str">
        <x:v>Speaker A: We have been seeing too much deformation around this bracket.
Speaker B: The current part is 3 mm aluminum.
Speaker A: We haven't tested another thickness yet.</x:v>
      </x:c>
      <x:c r="F3" s="14" t="str">
        <x:v>Speaker C: Let's make one 4 mm version for the next prototype and compare both before we decide whether to change the design.</x:v>
      </x:c>
      <x:c r="G3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3" s="14" t="str">
        <x:v>Same state retested with v2 questions</x:v>
      </x:c>
      <x:c r="I3" s="14" t="str">
        <x:v>Trackable test proposal. Test action is concrete. Final design decision remains pending.</x:v>
      </x:c>
      <x:c r="J3" s="14" t="str">
        <x:v>FALHA</x:v>
      </x:c>
      <x:c r="K3" s="14" t="str">
        <x:v>10 de 11 respostas alinhadas com o esperado. A única falha foi change_commitment, que ficou no nível 2 em vez do nível 1 esperado.</x:v>
      </x:c>
    </x:row>
    <x:row r="4" ht="90" customHeight="1">
      <x:c r="A4" s="14" t="str">
        <x:v>JEV-003-002</x:v>
      </x:c>
      <x:c r="B4" s="14" t="str">
        <x:v>2026-10-03</x:v>
      </x:c>
      <x:c r="C4" s="14" t="str">
        <x:v>jev-latest</x:v>
      </x:c>
      <x:c r="D4" s="14" t="str">
        <x:v>v2</x:v>
      </x:c>
      <x:c r="E4" s="14" t="str">
        <x:v>Speaker A: We have been seeing too much deformation around this bracket.
Speaker B: The current part is 3 mm aluminum.
Speaker A: We haven't tested another thickness yet.</x:v>
      </x:c>
      <x:c r="F4" s="14" t="str">
        <x:v>Speaker C: Maybe we could use aluminum.</x:v>
      </x:c>
      <x:c r="G4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4" s="14" t="str">
        <x:v>Tentative material proposal</x:v>
      </x:c>
      <x:c r="I4" s="14" t="str">
        <x:v>Tentative change proposal. No test or final decision. Weak commitment to the change.</x:v>
      </x:c>
      <x:c r="J4" s="14" t="str">
        <x:v>FALHA</x:v>
      </x:c>
      <x:c r="K4" s="14" t="str">
        <x:v>O state é parcialmente ambíguo porque o contexto já diz que a peça atual é de alumínio. Isso deve ser lembrado ao interpretar should_track e impacto.</x:v>
      </x:c>
    </x:row>
    <x:row r="5" ht="90" customHeight="1">
      <x:c r="A5" s="14" t="str">
        <x:v>JEV-003-003</x:v>
      </x:c>
      <x:c r="B5" s="14" t="str">
        <x:v>2026-10-03</x:v>
      </x:c>
      <x:c r="C5" s="14" t="str">
        <x:v>jev-latest</x:v>
      </x:c>
      <x:c r="D5" s="14" t="str">
        <x:v>v2</x:v>
      </x:c>
      <x:c r="E5" s="14" t="str">
        <x:v>Speaker A: We have been seeing too much deformation around this bracket.
Speaker B: The current part is 3 mm aluminum.
Speaker A: We haven't tested another thickness yet.</x:v>
      </x:c>
      <x:c r="F5" s="14" t="str">
        <x:v>Speaker C: We should investigate whether aluminum works.</x:v>
      </x:c>
      <x:c r="G5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5" s="14" t="str">
        <x:v>Investigation proposal</x:v>
      </x:c>
      <x:c r="I5" s="14" t="str">
        <x:v>Trackable investigation or test proposal. No final decision. Concrete next action with moderate project impact.</x:v>
      </x:c>
      <x:c r="J5" s="14" t="str">
        <x:v>FALHA</x:v>
      </x:c>
      <x:c r="K5" s="14" t="str">
        <x:v>A principal falha foi pending_decision, que inferiu uma decisão futura mesmo sem uma decisão específica ser mencionada.</x:v>
      </x:c>
    </x:row>
    <x:row r="6" ht="90" customHeight="1">
      <x:c r="A6" s="14" t="str">
        <x:v>JEV-003-004</x:v>
      </x:c>
      <x:c r="B6" s="14" t="str">
        <x:v>2026-10-03</x:v>
      </x:c>
      <x:c r="C6" s="14" t="str">
        <x:v>jev-latest</x:v>
      </x:c>
      <x:c r="D6" s="14" t="str">
        <x:v>v2</x:v>
      </x:c>
      <x:c r="E6" s="14" t="str">
        <x:v>Speaker A: We have been seeing too much deformation around this bracket.
Speaker B: The current part is 3 mm aluminum.
Speaker A: We haven't tested another thickness yet.</x:v>
      </x:c>
      <x:c r="F6" s="14" t="str">
        <x:v>Speaker C: Let's test aluminum on one prototype.</x:v>
      </x:c>
      <x:c r="G6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6" s="14" t="str">
        <x:v>Explicit prototype test</x:v>
      </x:c>
      <x:c r="I6" s="14" t="str">
        <x:v>Clear test proposal and action item. No final decision. Moderate project impact and follow-up required.</x:v>
      </x:c>
      <x:c r="J6" s="14" t="str">
        <x:v>FALHA</x:v>
      </x:c>
      <x:c r="K6" s="14" t="str">
        <x:v>pending_decision voltou a inferir uma decisão futura sem ela estar explicitamente estabelecida.</x:v>
      </x:c>
    </x:row>
    <x:row r="7" ht="90" customHeight="1">
      <x:c r="A7" s="14" t="str">
        <x:v>JEV-003-005</x:v>
      </x:c>
      <x:c r="B7" s="14" t="str">
        <x:v>2026-10-03</x:v>
      </x:c>
      <x:c r="C7" s="14" t="str">
        <x:v>jev-latest</x:v>
      </x:c>
      <x:c r="D7" s="14" t="str">
        <x:v>v2</x:v>
      </x:c>
      <x:c r="E7" s="14" t="str">
        <x:v>Speaker A: We have been seeing too much deformation around this bracket.
Speaker B: The current part is 3 mm aluminum.
Speaker A: We haven't tested another thickness yet.</x:v>
      </x:c>
      <x:c r="F7" s="14" t="str">
        <x:v>Speaker C: The aluminum prototype performed better.</x:v>
      </x:c>
      <x:c r="G7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7" s="14" t="str">
        <x:v>Test result</x:v>
      </x:c>
      <x:c r="I7" s="14" t="str">
        <x:v>Trackable test result. No new test, no final decision, no action item. Performance is the primary affected area.</x:v>
      </x:c>
      <x:c r="J7" s="14" t="str">
        <x:v>ALINHADO</x:v>
      </x:c>
      <x:c r="K7" s="14" t="str">
        <x:v>Todas as respostas principais ficaram alinhadas. pending_decision e change_commitment tiveram distribuição mais espalhada e devem continuar sendo observadas.</x:v>
      </x:c>
    </x:row>
    <x:row r="8" ht="90" customHeight="1">
      <x:c r="A8" s="14" t="str">
        <x:v>JEV-003-006</x:v>
      </x:c>
      <x:c r="B8" s="14" t="str">
        <x:v>2026-10-03</x:v>
      </x:c>
      <x:c r="C8" s="14" t="str">
        <x:v>jev-latest</x:v>
      </x:c>
      <x:c r="D8" s="14" t="str">
        <x:v>v2</x:v>
      </x:c>
      <x:c r="E8" s="14" t="str">
        <x:v>Speaker A: We have been seeing too much deformation around this bracket.
Speaker B: The current part is 3 mm aluminum.
Speaker A: We haven't tested another thickness yet.</x:v>
      </x:c>
      <x:c r="F8" s="14" t="str">
        <x:v>Speaker C: Let's use aluminum in the next version.</x:v>
      </x:c>
      <x:c r="G8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8" s="14" t="str">
        <x:v>Concrete change proposal</x:v>
      </x:c>
      <x:c r="I8" s="14" t="str">
        <x:v>Concrete change proposal, but not yet an explicit final decision. Moderate commitment and impact.</x:v>
      </x:c>
      <x:c r="J8" s="14" t="str">
        <x:v>ALINHADO</x:v>
      </x:c>
      <x:c r="K8" s="14" t="str">
        <x:v>As respostas principais ficaram alinhadas. event_type ficou dividido entre change_proposal e decision, o que vale monitorar.</x:v>
      </x:c>
    </x:row>
    <x:row r="9" ht="90" customHeight="1">
      <x:c r="A9" s="14" t="str">
        <x:v>JEV-003-007</x:v>
      </x:c>
      <x:c r="B9" s="14" t="str">
        <x:v>2026-10-03</x:v>
      </x:c>
      <x:c r="C9" s="14" t="str">
        <x:v>jev-latest</x:v>
      </x:c>
      <x:c r="D9" s="14" t="str">
        <x:v>v2</x:v>
      </x:c>
      <x:c r="E9" s="14" t="str">
        <x:v>Speaker A: We have been seeing too much deformation around this bracket.
Speaker B: The current part is 3 mm aluminum.
Speaker A: We haven't tested another thickness yet.</x:v>
      </x:c>
      <x:c r="F9" s="14" t="str">
        <x:v>Speaker C: We are switching the final design to aluminum.</x:v>
      </x:c>
      <x:c r="G9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9" s="14" t="str">
        <x:v>Final design decision</x:v>
      </x:c>
      <x:c r="I9" s="14" t="str">
        <x:v>Explicit final material decision with strong commitment and high project impact.</x:v>
      </x:c>
      <x:c r="J9" s="14" t="str">
        <x:v>ALINHADO</x:v>
      </x:c>
      <x:c r="K9" s="14" t="str">
        <x:v>Todas as respostas principais ficaram alinhadas. creates_action_item e project_impact tiveram margem menor do que as demais.</x:v>
      </x:c>
    </x:row>
    <x:row r="10" ht="90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 ht="90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 ht="90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90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 ht="90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 ht="90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 ht="90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 ht="90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 ht="90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 ht="90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 ht="90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 ht="90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 ht="90" customHeight="1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 ht="90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 ht="90" customHeight="1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 ht="90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 ht="90" customHeight="1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 ht="90" customHeight="1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 ht="90" customHeight="1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 ht="90" customHeight="1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 ht="90" customHeight="1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 ht="90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 ht="90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 ht="90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 ht="90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 ht="90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 ht="90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 ht="90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 ht="90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 ht="90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 ht="90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 ht="90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 ht="90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 ht="90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 ht="90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 ht="90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 ht="90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 ht="90" customHeight="1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 ht="90" customHeight="1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 ht="90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 ht="90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 ht="90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 ht="90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 ht="90" customHeight="1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 ht="90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 ht="90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 ht="90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 ht="90" customHeight="1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 ht="90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 ht="90" customHeight="1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 ht="90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 ht="90" customHeight="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 ht="90" customHeight="1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 ht="90" customHeight="1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 ht="90" customHeight="1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 ht="90" customHeight="1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 ht="90" customHeight="1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 ht="90" customHeight="1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 ht="90" customHeight="1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 ht="90" customHeight="1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 ht="90" customHeight="1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 ht="90" customHeight="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 ht="90" customHeight="1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 ht="90" customHeight="1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 ht="90" customHeight="1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 ht="90" customHeight="1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 ht="90" customHeight="1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 ht="90" customHeight="1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 ht="90" customHeight="1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 ht="90" customHeight="1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 ht="90" customHeight="1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 ht="90" customHeight="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 ht="90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 ht="90" customHeight="1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 ht="90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 ht="90" customHeight="1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 ht="90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 ht="90" customHeight="1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 ht="90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 ht="90" customHeight="1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 ht="90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 ht="90" customHeight="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 ht="90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 ht="90" customHeight="1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 ht="90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 ht="90" customHeight="1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 ht="90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 ht="90" customHeight="1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 ht="90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 ht="90" customHeight="1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 ht="90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</x:row>
  </x:sheetData>
  <x:conditionalFormatting sqref="J2:J1000">
    <x:cfRule type="expression" dxfId="0" priority="1">
      <x:formula>J2="ALINHADO"</x:formula>
    </x:cfRule>
    <x:cfRule type="expression" dxfId="1" priority="2">
      <x:formula>J2="FALHA"</x:formula>
    </x:cfRule>
    <x:cfRule type="expression" dxfId="2" priority="3">
      <x:formula>J2="AMBÍGUO"</x:formula>
    </x:cfRule>
  </x:conditionalFormatting>
  <x:conditionalFormatting sqref="J4:J9">
    <x:cfRule type="expression" dxfId="16" priority="4">
      <x:formula>J4="ALINHADO"</x:formula>
    </x:cfRule>
    <x:cfRule type="expression" dxfId="17" priority="5">
      <x:formula>J4="FALHA"</x:formula>
    </x:cfRule>
    <x:cfRule type="expression" dxfId="18" priority="6">
      <x:formula>J4="AMBÍGUO"</x:formula>
    </x:cfRule>
  </x:conditionalFormatting>
  <x:dataValidations count="1">
    <x:dataValidation type="list" sqref="J2:J1000">
      <x:formula1>"ALINHADO,FALHA,AMBÍGUO,PENDENTE"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a7ff4e67d344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22" hidden="0" customWidth="1"/>
    <x:col min="9" max="9" width="22" hidden="0" customWidth="1"/>
    <x:col min="10" max="10" width="48" hidden="0" customWidth="1"/>
    <x:col min="11" max="11" width="65" hidden="0" customWidth="1"/>
    <x:col min="12" max="12" width="22" hidden="0" customWidth="1"/>
    <x:col min="13" max="13" width="48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0" hidden="0" customWidth="1"/>
    <x:col min="19" max="19" width="20" hidden="0" customWidth="1"/>
    <x:col min="20" max="20" width="42" hidden="0" customWidth="1"/>
  </x:cols>
  <x:sheetData>
    <x:row r="1">
      <x:c r="A1" s="6" t="str">
        <x:v>Test_ID</x:v>
      </x:c>
      <x:c r="B1" s="6" t="str">
        <x:v>Date</x:v>
      </x:c>
      <x:c r="C1" s="6" t="str">
        <x:v>Model</x:v>
      </x:c>
      <x:c r="D1" s="6" t="str">
        <x:v>Question_Version</x:v>
      </x:c>
      <x:c r="E1" s="6" t="str">
        <x:v>Recent_Context</x:v>
      </x:c>
      <x:c r="F1" s="6" t="str">
        <x:v>Current_Utterance</x:v>
      </x:c>
      <x:c r="G1" s="6" t="str">
        <x:v>State_JSON</x:v>
      </x:c>
      <x:c r="H1" s="6" t="str">
        <x:v>Question_Key</x:v>
      </x:c>
      <x:c r="I1" s="6" t="str">
        <x:v>Primitive</x:v>
      </x:c>
      <x:c r="J1" s="6" t="str">
        <x:v>Instructions</x:v>
      </x:c>
      <x:c r="K1" s="6" t="str">
        <x:v>Criteria</x:v>
      </x:c>
      <x:c r="L1" s="6" t="str">
        <x:v>Expected_Primary</x:v>
      </x:c>
      <x:c r="M1" s="6" t="str">
        <x:v>Expected_Reason</x:v>
      </x:c>
      <x:c r="N1" s="6" t="str">
        <x:v>Actual_Primary</x:v>
      </x:c>
      <x:c r="O1" s="6" t="str">
        <x:v>Actual_Value</x:v>
      </x:c>
      <x:c r="P1" s="6" t="str">
        <x:v>Full_Distribution</x:v>
      </x:c>
      <x:c r="Q1" s="6" t="str">
        <x:v>Confidence</x:v>
      </x:c>
      <x:c r="R1" s="6" t="str">
        <x:v>Assessment</x:v>
      </x:c>
      <x:c r="S1" s="6" t="str">
        <x:v>Failure_Mode</x:v>
      </x:c>
      <x:c r="T1" s="6" t="str">
        <x:v>Notes</x:v>
      </x:c>
    </x:row>
    <x:row r="2" ht="100" customHeight="1">
      <x:c r="A2" s="14" t="str">
        <x:v>JEV-003-001</x:v>
      </x:c>
      <x:c r="B2" s="14" t="str">
        <x:v>2026-10-03</x:v>
      </x:c>
      <x:c r="C2" s="14" t="str">
        <x:v>jev-latest</x:v>
      </x:c>
      <x:c r="D2" s="14" t="str">
        <x:v>v1</x:v>
      </x:c>
      <x:c r="E2" s="14" t="str">
        <x:v>Speaker A: We have been seeing too much deformation around this bracket.
Speaker B: The current part is 3 mm aluminum.
Speaker A: We haven't tested another thickness yet.</x:v>
      </x:c>
      <x:c r="F2" s="14" t="str">
        <x:v>Speaker C: Let's make one 4 mm version for the next prototype and compare both before we decide whether to change the design.</x:v>
      </x:c>
      <x:c r="G2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2" s="14" t="str">
        <x:v>meaningful_event</x:v>
      </x:c>
      <x:c r="I2" s="14" t="str">
        <x:v>noul</x:v>
      </x:c>
      <x:c r="J2" s="14" t="str">
        <x:v>Does the current utterance introduce a meaningful project event?</x:v>
      </x:c>
      <x:c r="K2" s="14" t="str">
        <x:v>TRUE: It introduces or changes a hypothesis, test, proposal, decision, action item, risk, requirement, or important project constraint. FALSE: It is casual conversation, repetition, clarification without consequence, background information, or an unrelated side conversation.</x:v>
      </x:c>
      <x:c r="L2" s="14" t="str">
        <x:v>true</x:v>
      </x:c>
      <x:c r="M2" s="14" t="str">
        <x:v>A concrete prototype comparison is introduced and should matter to the project.</x:v>
      </x:c>
      <x:c r="N2" s="14" t="str">
        <x:v>true</x:v>
      </x:c>
      <x:c r="O2" s="14" t="str">
        <x:v>94%</x:v>
      </x:c>
      <x:c r="P2" s="14" t="str">
        <x:v>true 94% | false 6%</x:v>
      </x:c>
      <x:c r="Q2" s="14" t="str">
        <x:v>94%</x:v>
      </x:c>
      <x:c r="R2" s="14" t="str">
        <x:v>ALINHADO</x:v>
      </x:c>
      <x:c r="S2" s="14" t="str"/>
      <x:c r="T2" s="14" t="str"/>
    </x:row>
    <x:row r="3" ht="100" customHeight="1">
      <x:c r="A3" s="14" t="str">
        <x:v>JEV-003-001</x:v>
      </x:c>
      <x:c r="B3" s="14" t="str">
        <x:v>2026-10-03</x:v>
      </x:c>
      <x:c r="C3" s="14" t="str">
        <x:v>jev-latest</x:v>
      </x:c>
      <x:c r="D3" s="14" t="str">
        <x:v>v1</x:v>
      </x:c>
      <x:c r="E3" s="14" t="str">
        <x:v>Speaker A: We have been seeing too much deformation around this bracket.
Speaker B: The current part is 3 mm aluminum.
Speaker A: We haven't tested another thickness yet.</x:v>
      </x:c>
      <x:c r="F3" s="14" t="str">
        <x:v>Speaker C: Let's make one 4 mm version for the next prototype and compare both before we decide whether to change the design.</x:v>
      </x:c>
      <x:c r="G3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3" s="14" t="str">
        <x:v>event_type</x:v>
      </x:c>
      <x:c r="I3" s="14" t="str">
        <x:v>choice</x:v>
      </x:c>
      <x:c r="J3" s="14" t="str">
        <x:v>Classify the primary project event expressed in the current utterance.</x:v>
      </x:c>
      <x:c r="K3" s="14" t="str">
        <x:v>observation | hypothesis | test_proposal | change_proposal | decision | action_item | risk | none</x:v>
      </x:c>
      <x:c r="L3" s="14" t="str">
        <x:v>test_proposal</x:v>
      </x:c>
      <x:c r="M3" s="14" t="str">
        <x:v>The main event is creating a 4 mm prototype and comparing it before deciding.</x:v>
      </x:c>
      <x:c r="N3" s="14" t="str">
        <x:v>test_proposal</x:v>
      </x:c>
      <x:c r="O3" s="14" t="str">
        <x:v>99%</x:v>
      </x:c>
      <x:c r="P3" s="14" t="str">
        <x:v>test_proposal 99% | action_item 1% | all others 0%</x:v>
      </x:c>
      <x:c r="Q3" s="14" t="str">
        <x:v>98%</x:v>
      </x:c>
      <x:c r="R3" s="14" t="str">
        <x:v>ALINHADO</x:v>
      </x:c>
      <x:c r="S3" s="14" t="str"/>
      <x:c r="T3" s="14" t="str"/>
    </x:row>
    <x:row r="4" ht="100" customHeight="1">
      <x:c r="A4" s="14" t="str">
        <x:v>JEV-003-001</x:v>
      </x:c>
      <x:c r="B4" s="14" t="str">
        <x:v>2026-10-03</x:v>
      </x:c>
      <x:c r="C4" s="14" t="str">
        <x:v>jev-latest</x:v>
      </x:c>
      <x:c r="D4" s="14" t="str">
        <x:v>v1</x:v>
      </x:c>
      <x:c r="E4" s="14" t="str">
        <x:v>Speaker A: We have been seeing too much deformation around this bracket.
Speaker B: The current part is 3 mm aluminum.
Speaker A: We haven't tested another thickness yet.</x:v>
      </x:c>
      <x:c r="F4" s="14" t="str">
        <x:v>Speaker C: Let's make one 4 mm version for the next prototype and compare both before we decide whether to change the design.</x:v>
      </x:c>
      <x:c r="G4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4" s="14" t="str">
        <x:v>decision_is_final</x:v>
      </x:c>
      <x:c r="I4" s="14" t="str">
        <x:v>noul</x:v>
      </x:c>
      <x:c r="J4" s="14" t="str">
        <x:v>Does the current utterance explicitly establish a decision that should be treated as decided rather than merely explored or tested?</x:v>
      </x:c>
      <x:c r="K4" s="14" t="str">
        <x:v>TRUE: The speaker clearly commits the project to a choice, change, requirement, or course of action. FALSE: The statement is exploratory, hypothetical, conditional, a suggestion, a test, or does not contain a decision.</x:v>
      </x:c>
      <x:c r="L4" s="14" t="str">
        <x:v>false</x:v>
      </x:c>
      <x:c r="M4" s="14" t="str">
        <x:v>The phrase 'before we decide' explicitly says the final design decision is still pending.</x:v>
      </x:c>
      <x:c r="N4" s="14" t="str">
        <x:v>false</x:v>
      </x:c>
      <x:c r="O4" s="14" t="str">
        <x:v>95%</x:v>
      </x:c>
      <x:c r="P4" s="14" t="str">
        <x:v>true 5% | false 95%</x:v>
      </x:c>
      <x:c r="Q4" s="14" t="str">
        <x:v>95%</x:v>
      </x:c>
      <x:c r="R4" s="14" t="str">
        <x:v>ALINHADO</x:v>
      </x:c>
      <x:c r="S4" s="14" t="str"/>
      <x:c r="T4" s="14" t="str"/>
    </x:row>
    <x:row r="5" ht="100" customHeight="1">
      <x:c r="A5" s="14" t="str">
        <x:v>JEV-003-001</x:v>
      </x:c>
      <x:c r="B5" s="14" t="str">
        <x:v>2026-10-03</x:v>
      </x:c>
      <x:c r="C5" s="14" t="str">
        <x:v>jev-latest</x:v>
      </x:c>
      <x:c r="D5" s="14" t="str">
        <x:v>v1</x:v>
      </x:c>
      <x:c r="E5" s="14" t="str">
        <x:v>Speaker A: We have been seeing too much deformation around this bracket.
Speaker B: The current part is 3 mm aluminum.
Speaker A: We haven't tested another thickness yet.</x:v>
      </x:c>
      <x:c r="F5" s="14" t="str">
        <x:v>Speaker C: Let's make one 4 mm version for the next prototype and compare both before we decide whether to change the design.</x:v>
      </x:c>
      <x:c r="G5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5" s="14" t="str">
        <x:v>test_is_proposed</x:v>
      </x:c>
      <x:c r="I5" s="14" t="str">
        <x:v>noul</x:v>
      </x:c>
      <x:c r="J5" s="14" t="str">
        <x:v>Does the current utterance propose performing a test, experiment, prototype, trial, measurement, or comparison?</x:v>
      </x:c>
      <x:c r="K5" s="14" t="str">
        <x:v>TRUE: A concrete activity is proposed for learning, comparing alternatives, validating something, or reducing uncertainty. FALSE: No such experimental or validation activity is proposed.</x:v>
      </x:c>
      <x:c r="L5" s="14" t="str">
        <x:v>true</x:v>
      </x:c>
      <x:c r="M5" s="14" t="str">
        <x:v>The speaker proposes building one 4 mm version and comparing both versions.</x:v>
      </x:c>
      <x:c r="N5" s="14" t="str">
        <x:v>true</x:v>
      </x:c>
      <x:c r="O5" s="14" t="str">
        <x:v>99%</x:v>
      </x:c>
      <x:c r="P5" s="14" t="str">
        <x:v>true 99% | false 1%</x:v>
      </x:c>
      <x:c r="Q5" s="14" t="str">
        <x:v>99%</x:v>
      </x:c>
      <x:c r="R5" s="14" t="str">
        <x:v>ALINHADO</x:v>
      </x:c>
      <x:c r="S5" s="14" t="str"/>
      <x:c r="T5" s="14" t="str"/>
    </x:row>
    <x:row r="6" ht="100" customHeight="1">
      <x:c r="A6" s="14" t="str">
        <x:v>JEV-003-001</x:v>
      </x:c>
      <x:c r="B6" s="14" t="str">
        <x:v>2026-10-03</x:v>
      </x:c>
      <x:c r="C6" s="14" t="str">
        <x:v>jev-latest</x:v>
      </x:c>
      <x:c r="D6" s="14" t="str">
        <x:v>v1</x:v>
      </x:c>
      <x:c r="E6" s="14" t="str">
        <x:v>Speaker A: We have been seeing too much deformation around this bracket.
Speaker B: The current part is 3 mm aluminum.
Speaker A: We haven't tested another thickness yet.</x:v>
      </x:c>
      <x:c r="F6" s="14" t="str">
        <x:v>Speaker C: Let's make one 4 mm version for the next prototype and compare both before we decide whether to change the design.</x:v>
      </x:c>
      <x:c r="G6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6" s="14" t="str">
        <x:v>project_impact</x:v>
      </x:c>
      <x:c r="I6" s="14" t="str">
        <x:v>score</x:v>
      </x:c>
      <x:c r="J6" s="14" t="str">
        <x:v>How much could the information in the current utterance affect the project if acted upon?</x:v>
      </x:c>
      <x:c r="K6" s="14" t="str">
        <x:v>0: No meaningful project impact. 1: Minor impact. 2: Moderate impact affecting a component, test, task, or near-term engineering decision. 3: High impact affecting design, material, cost, schedule, safety, requirements, architecture, or a major project decision.</x:v>
      </x:c>
      <x:c r="L6" s="14" t="str">
        <x:v>2</x:v>
      </x:c>
      <x:c r="M6" s="14" t="str">
        <x:v>This affects a component test and a near-term engineering decision, but the final design has not changed yet.</x:v>
      </x:c>
      <x:c r="N6" s="14" t="str">
        <x:v>2.08</x:v>
      </x:c>
      <x:c r="O6" s="14" t="str">
        <x:v>2.08/3</x:v>
      </x:c>
      <x:c r="P6" s="14" t="str">
        <x:v>L0 0% | L1 0% | L2 92% | L3 8%</x:v>
      </x:c>
      <x:c r="Q6" s="14" t="str">
        <x:v>92%</x:v>
      </x:c>
      <x:c r="R6" s="14" t="str">
        <x:v>ALINHADO</x:v>
      </x:c>
      <x:c r="S6" s="14" t="str"/>
      <x:c r="T6" s="14" t="str"/>
    </x:row>
    <x:row r="7" ht="100" customHeight="1">
      <x:c r="A7" s="14" t="str">
        <x:v>JEV-003-001</x:v>
      </x:c>
      <x:c r="B7" s="14" t="str">
        <x:v>2026-10-03</x:v>
      </x:c>
      <x:c r="C7" s="14" t="str">
        <x:v>jev-latest</x:v>
      </x:c>
      <x:c r="D7" s="14" t="str">
        <x:v>v1</x:v>
      </x:c>
      <x:c r="E7" s="14" t="str">
        <x:v>Speaker A: We have been seeing too much deformation around this bracket.
Speaker B: The current part is 3 mm aluminum.
Speaker A: We haven't tested another thickness yet.</x:v>
      </x:c>
      <x:c r="F7" s="14" t="str">
        <x:v>Speaker C: Let's make one 4 mm version for the next prototype and compare both before we decide whether to change the design.</x:v>
      </x:c>
      <x:c r="G7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7" s="14" t="str">
        <x:v>commitment_level</x:v>
      </x:c>
      <x:c r="I7" s="14" t="str">
        <x:v>score</x:v>
      </x:c>
      <x:c r="J7" s="14" t="str">
        <x:v>How committed is the current utterance to a course of action?</x:v>
      </x:c>
      <x:c r="K7" s="14" t="str">
        <x:v>0: Pure speculation or open discussion. 1: An idea or possibility worth considering. 2: A concrete proposal, test, or intended next step. 3: An explicit decision or commitment that should be treated as active.</x:v>
      </x:c>
      <x:c r="L7" s="14" t="str">
        <x:v>2</x:v>
      </x:c>
      <x:c r="M7" s="14" t="str">
        <x:v>There is a concrete proposed next step, but there is no final design commitment.</x:v>
      </x:c>
      <x:c r="N7" s="14" t="str">
        <x:v>2.21</x:v>
      </x:c>
      <x:c r="O7" s="14" t="str">
        <x:v>2.21/3</x:v>
      </x:c>
      <x:c r="P7" s="14" t="str">
        <x:v>L0 0% | L1 0% | L2 79% | L3 21%</x:v>
      </x:c>
      <x:c r="Q7" s="14" t="str">
        <x:v>79%</x:v>
      </x:c>
      <x:c r="R7" s="14" t="str">
        <x:v>ALINHADO</x:v>
      </x:c>
      <x:c r="S7" s="14" t="str">
        <x:v>CATEGORY_OVERLAP</x:v>
      </x:c>
      <x:c r="T7" s="14" t="str"/>
    </x:row>
    <x:row r="8" ht="100" customHeight="1">
      <x:c r="A8" s="14" t="str">
        <x:v>JEV-003-001</x:v>
      </x:c>
      <x:c r="B8" s="14" t="str">
        <x:v>2026-10-03</x:v>
      </x:c>
      <x:c r="C8" s="14" t="str">
        <x:v>jev-latest</x:v>
      </x:c>
      <x:c r="D8" s="14" t="str">
        <x:v>v1</x:v>
      </x:c>
      <x:c r="E8" s="14" t="str">
        <x:v>Speaker A: We have been seeing too much deformation around this bracket.
Speaker B: The current part is 3 mm aluminum.
Speaker A: We haven't tested another thickness yet.</x:v>
      </x:c>
      <x:c r="F8" s="14" t="str">
        <x:v>Speaker C: Let's make one 4 mm version for the next prototype and compare both before we decide whether to change the design.</x:v>
      </x:c>
      <x:c r="G8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8" s="14" t="str">
        <x:v>affected_area</x:v>
      </x:c>
      <x:c r="I8" s="14" t="str">
        <x:v>choice</x:v>
      </x:c>
      <x:c r="J8" s="14" t="str">
        <x:v>Which project area is primarily affected by the current utterance?</x:v>
      </x:c>
      <x:c r="K8" s="14" t="str">
        <x:v>design | material | manufacturing | performance | cost | schedule | safety | process | other</x:v>
      </x:c>
      <x:c r="L8" s="14" t="str">
        <x:v>design</x:v>
      </x:c>
      <x:c r="M8" s="14" t="str">
        <x:v>The proposed change is thickness, which is primarily a design dimension. Performance is secondary because deformation will be compared.</x:v>
      </x:c>
      <x:c r="N8" s="14" t="str">
        <x:v>design</x:v>
      </x:c>
      <x:c r="O8" s="14" t="str">
        <x:v>82%</x:v>
      </x:c>
      <x:c r="P8" s="14" t="str">
        <x:v>design 82% | performance 12% | material 5% | process 1% | others 0%</x:v>
      </x:c>
      <x:c r="Q8" s="14" t="str">
        <x:v>79%</x:v>
      </x:c>
      <x:c r="R8" s="14" t="str">
        <x:v>ALINHADO</x:v>
      </x:c>
      <x:c r="S8" s="14" t="str">
        <x:v>MULTI_LABEL_LIMITATION</x:v>
      </x:c>
      <x:c r="T8" s="14" t="str"/>
    </x:row>
    <x:row r="9" ht="100" customHeight="1">
      <x:c r="A9" s="14" t="str">
        <x:v>JEV-003-001</x:v>
      </x:c>
      <x:c r="B9" s="14" t="str">
        <x:v>2026-10-03</x:v>
      </x:c>
      <x:c r="C9" s="14" t="str">
        <x:v>jev-latest</x:v>
      </x:c>
      <x:c r="D9" s="14" t="str">
        <x:v>v1</x:v>
      </x:c>
      <x:c r="E9" s="14" t="str">
        <x:v>Speaker A: We have been seeing too much deformation around this bracket.
Speaker B: The current part is 3 mm aluminum.
Speaker A: We haven't tested another thickness yet.</x:v>
      </x:c>
      <x:c r="F9" s="14" t="str">
        <x:v>Speaker C: Let's make one 4 mm version for the next prototype and compare both before we decide whether to change the design.</x:v>
      </x:c>
      <x:c r="G9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9" s="14" t="str">
        <x:v>requires_followup</x:v>
      </x:c>
      <x:c r="I9" s="14" t="str">
        <x:v>noul</x:v>
      </x:c>
      <x:c r="J9" s="14" t="str">
        <x:v>Does this utterance create something that the team should track or revisit later?</x:v>
      </x:c>
      <x:c r="K9" s="14" t="str">
        <x:v>TRUE: It creates a test, open question, proposed change, unresolved risk, action item, pending decision, or other item whose outcome matters later. FALSE: Nothing introduced here needs to be tracked after this moment.</x:v>
      </x:c>
      <x:c r="L9" s="14" t="str">
        <x:v>true</x:v>
      </x:c>
      <x:c r="M9" s="14" t="str">
        <x:v>The prototype comparison must be revisited before the design decision.</x:v>
      </x:c>
      <x:c r="N9" s="14" t="str">
        <x:v>true</x:v>
      </x:c>
      <x:c r="O9" s="14" t="str">
        <x:v>96%</x:v>
      </x:c>
      <x:c r="P9" s="14" t="str">
        <x:v>true 96% | false 4%</x:v>
      </x:c>
      <x:c r="Q9" s="14" t="str">
        <x:v>96%</x:v>
      </x:c>
      <x:c r="R9" s="14" t="str">
        <x:v>ALINHADO</x:v>
      </x:c>
      <x:c r="S9" s="14" t="str"/>
      <x:c r="T9" s="14" t="str"/>
    </x:row>
    <x:row r="10" ht="100" customHeight="1">
      <x:c r="A10" s="14" t="str">
        <x:v>JEV-003-001</x:v>
      </x:c>
      <x:c r="B10" s="14" t="str">
        <x:v>2026-10-03</x:v>
      </x:c>
      <x:c r="C10" s="14" t="str">
        <x:v>jev-latest</x:v>
      </x:c>
      <x:c r="D10" s="14" t="str">
        <x:v>v2</x:v>
      </x:c>
      <x:c r="E10" s="14" t="str">
        <x:v>Speaker A: We have been seeing too much deformation around this bracket.
Speaker B: The current part is 3 mm aluminum.
Speaker A: We haven't tested another thickness yet.</x:v>
      </x:c>
      <x:c r="F10" s="14" t="str">
        <x:v>Speaker C: Let's make one 4 mm version for the next prototype and compare both before we decide whether to change the design.</x:v>
      </x:c>
      <x:c r="G10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0" s="14" t="str">
        <x:v>should_track</x:v>
      </x:c>
      <x:c r="I10" s="14" t="str">
        <x:v>noul</x:v>
      </x:c>
      <x:c r="J10" s="14" t="str">
        <x:v>Should the current utterance create a new tracked project item or update an existing tracked item?</x:v>
      </x:c>
      <x:c r="K10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  <x:c r="L10" s="14" t="str">
        <x:v>true</x:v>
      </x:c>
      <x:c r="M10" s="14" t="str">
        <x:v>The utterance creates a prototype comparison that should remain visible until the result is known.</x:v>
      </x:c>
      <x:c r="N10" s="14" t="str">
        <x:v>true</x:v>
      </x:c>
      <x:c r="O10" s="14" t="str">
        <x:v>90%</x:v>
      </x:c>
      <x:c r="P10" s="14" t="str">
        <x:v>true 90% | false 10%</x:v>
      </x:c>
      <x:c r="Q10" s="14" t="str">
        <x:v>90%</x:v>
      </x:c>
      <x:c r="R10" s="14" t="str">
        <x:v>ALINHADO</x:v>
      </x:c>
      <x:c r="S10" s="14" t="str"/>
      <x:c r="T10" s="14" t="str"/>
    </x:row>
    <x:row r="11" ht="100" customHeight="1">
      <x:c r="A11" s="14" t="str">
        <x:v>JEV-003-001</x:v>
      </x:c>
      <x:c r="B11" s="14" t="str">
        <x:v>2026-10-03</x:v>
      </x:c>
      <x:c r="C11" s="14" t="str">
        <x:v>jev-latest</x:v>
      </x:c>
      <x:c r="D11" s="14" t="str">
        <x:v>v2</x:v>
      </x:c>
      <x:c r="E11" s="14" t="str">
        <x:v>Speaker A: We have been seeing too much deformation around this bracket.
Speaker B: The current part is 3 mm aluminum.
Speaker A: We haven't tested another thickness yet.</x:v>
      </x:c>
      <x:c r="F11" s="14" t="str">
        <x:v>Speaker C: Let's make one 4 mm version for the next prototype and compare both before we decide whether to change the design.</x:v>
      </x:c>
      <x:c r="G11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1" s="14" t="str">
        <x:v>event_type</x:v>
      </x:c>
      <x:c r="I11" s="14" t="str">
        <x:v>choice</x:v>
      </x:c>
      <x:c r="J11" s="14" t="str">
        <x:v>Classify the primary project event expressed in the current utterance.</x:v>
      </x:c>
      <x:c r="K11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  <x:c r="L11" s="14" t="str">
        <x:v>test_proposal</x:v>
      </x:c>
      <x:c r="M11" s="14" t="str">
        <x:v>The primary event is the proposal to build and compare a 4 mm prototype.</x:v>
      </x:c>
      <x:c r="N11" s="14" t="str">
        <x:v>test_proposal</x:v>
      </x:c>
      <x:c r="O11" s="14" t="str">
        <x:v>98%</x:v>
      </x:c>
      <x:c r="P11" s="14" t="str">
        <x:v>test_proposal 98% | action_item 2% | all others 0%</x:v>
      </x:c>
      <x:c r="Q11" s="14" t="str">
        <x:v>97%</x:v>
      </x:c>
      <x:c r="R11" s="14" t="str">
        <x:v>ALINHADO</x:v>
      </x:c>
      <x:c r="S11" s="14" t="str"/>
      <x:c r="T11" s="14" t="str"/>
    </x:row>
    <x:row r="12" ht="100" customHeight="1">
      <x:c r="A12" s="14" t="str">
        <x:v>JEV-003-001</x:v>
      </x:c>
      <x:c r="B12" s="14" t="str">
        <x:v>2026-10-03</x:v>
      </x:c>
      <x:c r="C12" s="14" t="str">
        <x:v>jev-latest</x:v>
      </x:c>
      <x:c r="D12" s="14" t="str">
        <x:v>v2</x:v>
      </x:c>
      <x:c r="E12" s="14" t="str">
        <x:v>Speaker A: We have been seeing too much deformation around this bracket.
Speaker B: The current part is 3 mm aluminum.
Speaker A: We haven't tested another thickness yet.</x:v>
      </x:c>
      <x:c r="F12" s="14" t="str">
        <x:v>Speaker C: Let's make one 4 mm version for the next prototype and compare both before we decide whether to change the design.</x:v>
      </x:c>
      <x:c r="G12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2" s="14" t="str">
        <x:v>test_is_proposed</x:v>
      </x:c>
      <x:c r="I12" s="14" t="str">
        <x:v>noul</x:v>
      </x:c>
      <x:c r="J12" s="14" t="str">
        <x:v>Does the current utterance explicitly propose performing a test, experiment, prototype, trial, measurement, validation, or comparison?</x:v>
      </x:c>
      <x:c r="K12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  <x:c r="L12" s="14" t="str">
        <x:v>true</x:v>
      </x:c>
      <x:c r="M12" s="14" t="str">
        <x:v>The speaker explicitly proposes making one 4 mm version and comparing it.</x:v>
      </x:c>
      <x:c r="N12" s="14" t="str">
        <x:v>true</x:v>
      </x:c>
      <x:c r="O12" s="14" t="str">
        <x:v>98%</x:v>
      </x:c>
      <x:c r="P12" s="14" t="str">
        <x:v>true 98% | false 2%</x:v>
      </x:c>
      <x:c r="Q12" s="14" t="str">
        <x:v>98%</x:v>
      </x:c>
      <x:c r="R12" s="14" t="str">
        <x:v>ALINHADO</x:v>
      </x:c>
      <x:c r="S12" s="14" t="str"/>
      <x:c r="T12" s="14" t="str"/>
    </x:row>
    <x:row r="13" ht="100" customHeight="1">
      <x:c r="A13" s="14" t="str">
        <x:v>JEV-003-001</x:v>
      </x:c>
      <x:c r="B13" s="14" t="str">
        <x:v>2026-10-03</x:v>
      </x:c>
      <x:c r="C13" s="14" t="str">
        <x:v>jev-latest</x:v>
      </x:c>
      <x:c r="D13" s="14" t="str">
        <x:v>v2</x:v>
      </x:c>
      <x:c r="E13" s="14" t="str">
        <x:v>Speaker A: We have been seeing too much deformation around this bracket.
Speaker B: The current part is 3 mm aluminum.
Speaker A: We haven't tested another thickness yet.</x:v>
      </x:c>
      <x:c r="F13" s="14" t="str">
        <x:v>Speaker C: Let's make one 4 mm version for the next prototype and compare both before we decide whether to change the design.</x:v>
      </x:c>
      <x:c r="G13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3" s="14" t="str">
        <x:v>decision_is_final</x:v>
      </x:c>
      <x:c r="I13" s="14" t="str">
        <x:v>noul</x:v>
      </x:c>
      <x:c r="J13" s="14" t="str">
        <x:v>Does the current utterance commit the project to a choice or change now, without waiting for a future test, condition, approval, or unresolved decision?</x:v>
      </x:c>
      <x:c r="K13" s="14" t="str">
        <x:v>TRUE: The choice or change should be treated as decided and active now. FALSE: It is exploratory, conditional, proposed, waiting on evidence or approval, or no decision is present.</x:v>
      </x:c>
      <x:c r="L13" s="14" t="str">
        <x:v>false</x:v>
      </x:c>
      <x:c r="M13" s="14" t="str">
        <x:v>The final design decision is explicitly postponed until after the comparison.</x:v>
      </x:c>
      <x:c r="N13" s="14" t="str">
        <x:v>false</x:v>
      </x:c>
      <x:c r="O13" s="14" t="str">
        <x:v>95%</x:v>
      </x:c>
      <x:c r="P13" s="14" t="str">
        <x:v>true 5% | false 95%</x:v>
      </x:c>
      <x:c r="Q13" s="14" t="str">
        <x:v>95%</x:v>
      </x:c>
      <x:c r="R13" s="14" t="str">
        <x:v>ALINHADO</x:v>
      </x:c>
      <x:c r="S13" s="14" t="str"/>
      <x:c r="T13" s="14" t="str"/>
    </x:row>
    <x:row r="14" ht="100" customHeight="1">
      <x:c r="A14" s="14" t="str">
        <x:v>JEV-003-001</x:v>
      </x:c>
      <x:c r="B14" s="14" t="str">
        <x:v>2026-10-03</x:v>
      </x:c>
      <x:c r="C14" s="14" t="str">
        <x:v>jev-latest</x:v>
      </x:c>
      <x:c r="D14" s="14" t="str">
        <x:v>v2</x:v>
      </x:c>
      <x:c r="E14" s="14" t="str">
        <x:v>Speaker A: We have been seeing too much deformation around this bracket.
Speaker B: The current part is 3 mm aluminum.
Speaker A: We haven't tested another thickness yet.</x:v>
      </x:c>
      <x:c r="F14" s="14" t="str">
        <x:v>Speaker C: Let's make one 4 mm version for the next prototype and compare both before we decide whether to change the design.</x:v>
      </x:c>
      <x:c r="G14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4" s="14" t="str">
        <x:v>pending_decision</x:v>
      </x:c>
      <x:c r="I14" s="14" t="str">
        <x:v>noul</x:v>
      </x:c>
      <x:c r="J14" s="14" t="str">
        <x:v>Does the current utterance establish that a specific project decision is still unresolved and must be made later?</x:v>
      </x:c>
      <x:c r="K14" s="14" t="str">
        <x:v>TRUE: A specific future decision remains open and may depend on a test, evidence, approval, or another condition. FALSE: No future decision is established, or the relevant decision is already final.</x:v>
      </x:c>
      <x:c r="L14" s="14" t="str">
        <x:v>true</x:v>
      </x:c>
      <x:c r="M14" s="14" t="str">
        <x:v>The team still needs to decide whether to change the design after the test.</x:v>
      </x:c>
      <x:c r="N14" s="14" t="str">
        <x:v>true</x:v>
      </x:c>
      <x:c r="O14" s="14" t="str">
        <x:v>95%</x:v>
      </x:c>
      <x:c r="P14" s="14" t="str">
        <x:v>true 95% | false 5%</x:v>
      </x:c>
      <x:c r="Q14" s="14" t="str">
        <x:v>95%</x:v>
      </x:c>
      <x:c r="R14" s="14" t="str">
        <x:v>ALINHADO</x:v>
      </x:c>
      <x:c r="S14" s="14" t="str"/>
      <x:c r="T14" s="14" t="str"/>
    </x:row>
    <x:row r="15" ht="100" customHeight="1">
      <x:c r="A15" s="14" t="str">
        <x:v>JEV-003-001</x:v>
      </x:c>
      <x:c r="B15" s="14" t="str">
        <x:v>2026-10-03</x:v>
      </x:c>
      <x:c r="C15" s="14" t="str">
        <x:v>jev-latest</x:v>
      </x:c>
      <x:c r="D15" s="14" t="str">
        <x:v>v2</x:v>
      </x:c>
      <x:c r="E15" s="14" t="str">
        <x:v>Speaker A: We have been seeing too much deformation around this bracket.
Speaker B: The current part is 3 mm aluminum.
Speaker A: We haven't tested another thickness yet.</x:v>
      </x:c>
      <x:c r="F15" s="14" t="str">
        <x:v>Speaker C: Let's make one 4 mm version for the next prototype and compare both before we decide whether to change the design.</x:v>
      </x:c>
      <x:c r="G15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5" s="14" t="str">
        <x:v>creates_action_item</x:v>
      </x:c>
      <x:c r="I15" s="14" t="str">
        <x:v>noul</x:v>
      </x:c>
      <x:c r="J15" s="14" t="str">
        <x:v>Does the current utterance establish a concrete task or next action that someone should perform?</x:v>
      </x:c>
      <x:c r="K15" s="14" t="str">
        <x:v>TRUE: A specific activity should be performed, even if no person or deadline is explicitly assigned. FALSE: The utterance only discusses, observes, hypothesizes, or evaluates something without establishing a concrete action.</x:v>
      </x:c>
      <x:c r="L15" s="14" t="str">
        <x:v>true</x:v>
      </x:c>
      <x:c r="M15" s="14" t="str">
        <x:v>Making one 4 mm prototype and comparing it is a concrete next action.</x:v>
      </x:c>
      <x:c r="N15" s="14" t="str">
        <x:v>true</x:v>
      </x:c>
      <x:c r="O15" s="14" t="str">
        <x:v>96%</x:v>
      </x:c>
      <x:c r="P15" s="14" t="str">
        <x:v>true 96% | false 4%</x:v>
      </x:c>
      <x:c r="Q15" s="14" t="str">
        <x:v>96%</x:v>
      </x:c>
      <x:c r="R15" s="14" t="str">
        <x:v>ALINHADO</x:v>
      </x:c>
      <x:c r="S15" s="14" t="str"/>
      <x:c r="T15" s="14" t="str"/>
    </x:row>
    <x:row r="16" ht="100" customHeight="1">
      <x:c r="A16" s="14" t="str">
        <x:v>JEV-003-001</x:v>
      </x:c>
      <x:c r="B16" s="14" t="str">
        <x:v>2026-10-03</x:v>
      </x:c>
      <x:c r="C16" s="14" t="str">
        <x:v>jev-latest</x:v>
      </x:c>
      <x:c r="D16" s="14" t="str">
        <x:v>v2</x:v>
      </x:c>
      <x:c r="E16" s="14" t="str">
        <x:v>Speaker A: We have been seeing too much deformation around this bracket.
Speaker B: The current part is 3 mm aluminum.
Speaker A: We haven't tested another thickness yet.</x:v>
      </x:c>
      <x:c r="F16" s="14" t="str">
        <x:v>Speaker C: Let's make one 4 mm version for the next prototype and compare both before we decide whether to change the design.</x:v>
      </x:c>
      <x:c r="G16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6" s="14" t="str">
        <x:v>next_step_commitment</x:v>
      </x:c>
      <x:c r="I16" s="14" t="str">
        <x:v>score</x:v>
      </x:c>
      <x:c r="J16" s="14" t="str">
        <x:v>How strongly does the current utterance commit the team to performing the stated next step?</x:v>
      </x:c>
      <x:c r="K16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  <x:c r="L16" s="14" t="str">
        <x:v>2</x:v>
      </x:c>
      <x:c r="M16" s="14" t="str">
        <x:v>The next step is concrete, but the utterance does not clearly show explicit team agreement, assignment, or scheduling.</x:v>
      </x:c>
      <x:c r="N16" s="14" t="str">
        <x:v>2</x:v>
      </x:c>
      <x:c r="O16" s="14" t="str">
        <x:v>2.35/3</x:v>
      </x:c>
      <x:c r="P16" s="14" t="str">
        <x:v>L0 0% | L1 0% | L2 65% | L3 35%</x:v>
      </x:c>
      <x:c r="Q16" s="14" t="str">
        <x:v>65%</x:v>
      </x:c>
      <x:c r="R16" s="14" t="str">
        <x:v>ALINHADO</x:v>
      </x:c>
      <x:c r="S16" s="14" t="str">
        <x:v>BOUNDARY_2_3</x:v>
      </x:c>
      <x:c r="T16" s="14" t="str">
        <x:v>A resposta principal continua no nível 2, mas existe incerteza relevante entre 2 e 3.</x:v>
      </x:c>
    </x:row>
    <x:row r="17" ht="100" customHeight="1">
      <x:c r="A17" s="14" t="str">
        <x:v>JEV-003-001</x:v>
      </x:c>
      <x:c r="B17" s="14" t="str">
        <x:v>2026-10-03</x:v>
      </x:c>
      <x:c r="C17" s="14" t="str">
        <x:v>jev-latest</x:v>
      </x:c>
      <x:c r="D17" s="14" t="str">
        <x:v>v2</x:v>
      </x:c>
      <x:c r="E17" s="14" t="str">
        <x:v>Speaker A: We have been seeing too much deformation around this bracket.
Speaker B: The current part is 3 mm aluminum.
Speaker A: We haven't tested another thickness yet.</x:v>
      </x:c>
      <x:c r="F17" s="14" t="str">
        <x:v>Speaker C: Let's make one 4 mm version for the next prototype and compare both before we decide whether to change the design.</x:v>
      </x:c>
      <x:c r="G17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7" s="14" t="str">
        <x:v>change_commitment</x:v>
      </x:c>
      <x:c r="I17" s="14" t="str">
        <x:v>score</x:v>
      </x:c>
      <x:c r="J17" s="14" t="str">
        <x:v>How committed is the project to the underlying project change itself, excluding commitment to testing or discussing it?</x:v>
      </x:c>
      <x:c r="K17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  <x:c r="L17" s="14" t="str">
        <x:v>1</x:v>
      </x:c>
      <x:c r="M17" s="14" t="str">
        <x:v>Changing the final design is still only being explored and depends on the test.</x:v>
      </x:c>
      <x:c r="N17" s="14" t="str">
        <x:v>2</x:v>
      </x:c>
      <x:c r="O17" s="14" t="str">
        <x:v>1.69/3</x:v>
      </x:c>
      <x:c r="P17" s="14" t="str">
        <x:v>L0 0% | L1 31% | L2 69% | L3 0%</x:v>
      </x:c>
      <x:c r="Q17" s="14" t="str">
        <x:v>69%</x:v>
      </x:c>
      <x:c r="R17" s="14" t="str">
        <x:v>FALHA</x:v>
      </x:c>
      <x:c r="S17" s="14" t="str">
        <x:v>OVERCOMMITMENT</x:v>
      </x:c>
      <x:c r="T17" s="14" t="str">
        <x:v>O esperado era nível 1. O modelo colocou 69% no nível 2 e tratou a mudança como mais concreta do que o state sustenta.</x:v>
      </x:c>
    </x:row>
    <x:row r="18" ht="100" customHeight="1">
      <x:c r="A18" s="14" t="str">
        <x:v>JEV-003-001</x:v>
      </x:c>
      <x:c r="B18" s="14" t="str">
        <x:v>2026-10-03</x:v>
      </x:c>
      <x:c r="C18" s="14" t="str">
        <x:v>jev-latest</x:v>
      </x:c>
      <x:c r="D18" s="14" t="str">
        <x:v>v2</x:v>
      </x:c>
      <x:c r="E18" s="14" t="str">
        <x:v>Speaker A: We have been seeing too much deformation around this bracket.
Speaker B: The current part is 3 mm aluminum.
Speaker A: We haven't tested another thickness yet.</x:v>
      </x:c>
      <x:c r="F18" s="14" t="str">
        <x:v>Speaker C: Let's make one 4 mm version for the next prototype and compare both before we decide whether to change the design.</x:v>
      </x:c>
      <x:c r="G18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8" s="14" t="str">
        <x:v>project_impact</x:v>
      </x:c>
      <x:c r="I18" s="14" t="str">
        <x:v>score</x:v>
      </x:c>
      <x:c r="J18" s="14" t="str">
        <x:v>Assuming the event described in the current utterance proceeds or is valid, how broad would its impact on the project be?</x:v>
      </x:c>
      <x:c r="K18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  <x:c r="L18" s="14" t="str">
        <x:v>2</x:v>
      </x:c>
      <x:c r="M18" s="14" t="str">
        <x:v>The event affects a component test and a near-term design decision, but not yet the whole project.</x:v>
      </x:c>
      <x:c r="N18" s="14" t="str">
        <x:v>2</x:v>
      </x:c>
      <x:c r="O18" s="14" t="str">
        <x:v>2.00/3</x:v>
      </x:c>
      <x:c r="P18" s="14" t="str">
        <x:v>L0 0% | L1 0% | L2 99% | L3 1%</x:v>
      </x:c>
      <x:c r="Q18" s="14" t="str">
        <x:v>99%</x:v>
      </x:c>
      <x:c r="R18" s="14" t="str">
        <x:v>ALINHADO</x:v>
      </x:c>
      <x:c r="S18" s="14" t="str"/>
      <x:c r="T18" s="14" t="str"/>
    </x:row>
    <x:row r="19" ht="100" customHeight="1">
      <x:c r="A19" s="14" t="str">
        <x:v>JEV-003-001</x:v>
      </x:c>
      <x:c r="B19" s="14" t="str">
        <x:v>2026-10-03</x:v>
      </x:c>
      <x:c r="C19" s="14" t="str">
        <x:v>jev-latest</x:v>
      </x:c>
      <x:c r="D19" s="14" t="str">
        <x:v>v2</x:v>
      </x:c>
      <x:c r="E19" s="14" t="str">
        <x:v>Speaker A: We have been seeing too much deformation around this bracket.
Speaker B: The current part is 3 mm aluminum.
Speaker A: We haven't tested another thickness yet.</x:v>
      </x:c>
      <x:c r="F19" s="14" t="str">
        <x:v>Speaker C: Let's make one 4 mm version for the next prototype and compare both before we decide whether to change the design.</x:v>
      </x:c>
      <x:c r="G19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19" s="14" t="str">
        <x:v>primary_affected_area</x:v>
      </x:c>
      <x:c r="I19" s="14" t="str">
        <x:v>choice</x:v>
      </x:c>
      <x:c r="J19" s="14" t="str">
        <x:v>Which project area is most directly affected by the current utterance?</x:v>
      </x:c>
      <x:c r="K19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  <x:c r="L19" s="14" t="str">
        <x:v>design</x:v>
      </x:c>
      <x:c r="M19" s="14" t="str">
        <x:v>The proposed variable is bracket thickness, which is primarily a design dimension.</x:v>
      </x:c>
      <x:c r="N19" s="14" t="str">
        <x:v>design</x:v>
      </x:c>
      <x:c r="O19" s="14" t="str">
        <x:v>89%</x:v>
      </x:c>
      <x:c r="P19" s="14" t="str">
        <x:v>design 89% | performance 6% | material 4% | process 1% | all others 0%</x:v>
      </x:c>
      <x:c r="Q19" s="14" t="str">
        <x:v>88%</x:v>
      </x:c>
      <x:c r="R19" s="14" t="str">
        <x:v>ALINHADO</x:v>
      </x:c>
      <x:c r="S19" s="14" t="str"/>
      <x:c r="T19" s="14" t="str"/>
    </x:row>
    <x:row r="20" ht="100" customHeight="1">
      <x:c r="A20" s="14" t="str">
        <x:v>JEV-003-001</x:v>
      </x:c>
      <x:c r="B20" s="14" t="str">
        <x:v>2026-10-03</x:v>
      </x:c>
      <x:c r="C20" s="14" t="str">
        <x:v>jev-latest</x:v>
      </x:c>
      <x:c r="D20" s="14" t="str">
        <x:v>v2</x:v>
      </x:c>
      <x:c r="E20" s="14" t="str">
        <x:v>Speaker A: We have been seeing too much deformation around this bracket.
Speaker B: The current part is 3 mm aluminum.
Speaker A: We haven't tested another thickness yet.</x:v>
      </x:c>
      <x:c r="F20" s="14" t="str">
        <x:v>Speaker C: Let's make one 4 mm version for the next prototype and compare both before we decide whether to change the design.</x:v>
      </x:c>
      <x:c r="G20" s="14" t="str">
        <x:v>{"recent_context": ["Speaker A: We have been seeing too much deformation around this bracket.", "Speaker B: The current part is 3 mm aluminum.", "Speaker A: We haven't tested another thickness yet."], "current_utterance": "Speaker C: Let's make one 4 mm version for the next prototype and compare both before we decide whether to change the design."}</x:v>
      </x:c>
      <x:c r="H20" s="14" t="str">
        <x:v>requires_followup</x:v>
      </x:c>
      <x:c r="I20" s="14" t="str">
        <x:v>noul</x:v>
      </x:c>
      <x:c r="J20" s="14" t="str">
        <x:v>Does the current utterance create or update something whose outcome should be checked again later?</x:v>
      </x:c>
      <x:c r="K20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  <x:c r="L20" s="14" t="str">
        <x:v>true</x:v>
      </x:c>
      <x:c r="M20" s="14" t="str">
        <x:v>The test result must be revisited before the final design decision.</x:v>
      </x:c>
      <x:c r="N20" s="14" t="str">
        <x:v>true</x:v>
      </x:c>
      <x:c r="O20" s="14" t="str">
        <x:v>95%</x:v>
      </x:c>
      <x:c r="P20" s="14" t="str">
        <x:v>true 95% | false 5%</x:v>
      </x:c>
      <x:c r="Q20" s="14" t="str">
        <x:v>95%</x:v>
      </x:c>
      <x:c r="R20" s="14" t="str">
        <x:v>ALINHADO</x:v>
      </x:c>
      <x:c r="S20" s="14" t="str"/>
      <x:c r="T20" s="14" t="str"/>
    </x:row>
    <x:row r="21" ht="100" customHeight="1">
      <x:c r="A21" s="14" t="str">
        <x:v>JEV-003-002</x:v>
      </x:c>
      <x:c r="B21" s="14" t="str">
        <x:v>2026-10-03</x:v>
      </x:c>
      <x:c r="C21" s="14" t="str">
        <x:v>jev-latest</x:v>
      </x:c>
      <x:c r="D21" s="14" t="str">
        <x:v>v2</x:v>
      </x:c>
      <x:c r="E21" s="14" t="str">
        <x:v>Speaker A: We have been seeing too much deformation around this bracket.
Speaker B: The current part is 3 mm aluminum.
Speaker A: We haven't tested another thickness yet.</x:v>
      </x:c>
      <x:c r="F21" s="14" t="str">
        <x:v>Speaker C: Maybe we could use aluminum.</x:v>
      </x:c>
      <x:c r="G21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1" s="14" t="str">
        <x:v>should_track</x:v>
      </x:c>
      <x:c r="I21" s="14" t="str">
        <x:v>noul</x:v>
      </x:c>
      <x:c r="J21" s="14" t="str">
        <x:v>Should the current utterance create a new tracked project item or update an existing tracked item?</x:v>
      </x:c>
      <x:c r="K21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  <x:c r="L21" s="14" t="str">
        <x:v>true</x:v>
      </x:c>
      <x:c r="M21" s="14" t="str">
        <x:v>A tentative material proposal can become a tracked change candidate if it is genuinely new.</x:v>
      </x:c>
      <x:c r="N21" s="14" t="str">
        <x:v>false</x:v>
      </x:c>
      <x:c r="O21" s="14" t="str">
        <x:v>false</x:v>
      </x:c>
      <x:c r="P21" s="14" t="str">
        <x:v>true 46% | false 54%</x:v>
      </x:c>
      <x:c r="Q21" s="14" t="str">
        <x:v>54%</x:v>
      </x:c>
      <x:c r="R21" s="14" t="str">
        <x:v>FALHA</x:v>
      </x:c>
      <x:c r="S21" s="14" t="str">
        <x:v>MISSED_TRACKABLE_PROPOSAL</x:v>
      </x:c>
      <x:c r="T21" s="14" t="str">
        <x:v>O resultado ficou do lado false por margem pequena. O contexto já mencionar alumínio torna este caso menos limpo.</x:v>
      </x:c>
    </x:row>
    <x:row r="22" ht="100" customHeight="1">
      <x:c r="A22" s="14" t="str">
        <x:v>JEV-003-002</x:v>
      </x:c>
      <x:c r="B22" s="14" t="str">
        <x:v>2026-10-03</x:v>
      </x:c>
      <x:c r="C22" s="14" t="str">
        <x:v>jev-latest</x:v>
      </x:c>
      <x:c r="D22" s="14" t="str">
        <x:v>v2</x:v>
      </x:c>
      <x:c r="E22" s="14" t="str">
        <x:v>Speaker A: We have been seeing too much deformation around this bracket.
Speaker B: The current part is 3 mm aluminum.
Speaker A: We haven't tested another thickness yet.</x:v>
      </x:c>
      <x:c r="F22" s="14" t="str">
        <x:v>Speaker C: Maybe we could use aluminum.</x:v>
      </x:c>
      <x:c r="G22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2" s="14" t="str">
        <x:v>event_type</x:v>
      </x:c>
      <x:c r="I22" s="14" t="str">
        <x:v>choice</x:v>
      </x:c>
      <x:c r="J22" s="14" t="str">
        <x:v>Classify the primary project event expressed in the current utterance.</x:v>
      </x:c>
      <x:c r="K22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  <x:c r="L22" s="14" t="str">
        <x:v>change_proposal</x:v>
      </x:c>
      <x:c r="M22" s="14" t="str">
        <x:v>The wording proposes using a material, even though the proposal is tentative.</x:v>
      </x:c>
      <x:c r="N22" s="14" t="str">
        <x:v>change_proposal</x:v>
      </x:c>
      <x:c r="O22" s="14" t="str">
        <x:v>change_proposal</x:v>
      </x:c>
      <x:c r="P22" s="14" t="str">
        <x:v>change_proposal 87% | hypothesis 13% | all others 0%</x:v>
      </x:c>
      <x:c r="Q22" s="14" t="str">
        <x:v>85%</x:v>
      </x:c>
      <x:c r="R22" s="14" t="str">
        <x:v>ALINHADO</x:v>
      </x:c>
      <x:c r="S22" s="14" t="str"/>
      <x:c r="T22" s="14" t="str"/>
    </x:row>
    <x:row r="23" ht="100" customHeight="1">
      <x:c r="A23" s="14" t="str">
        <x:v>JEV-003-002</x:v>
      </x:c>
      <x:c r="B23" s="14" t="str">
        <x:v>2026-10-03</x:v>
      </x:c>
      <x:c r="C23" s="14" t="str">
        <x:v>jev-latest</x:v>
      </x:c>
      <x:c r="D23" s="14" t="str">
        <x:v>v2</x:v>
      </x:c>
      <x:c r="E23" s="14" t="str">
        <x:v>Speaker A: We have been seeing too much deformation around this bracket.
Speaker B: The current part is 3 mm aluminum.
Speaker A: We haven't tested another thickness yet.</x:v>
      </x:c>
      <x:c r="F23" s="14" t="str">
        <x:v>Speaker C: Maybe we could use aluminum.</x:v>
      </x:c>
      <x:c r="G23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3" s="14" t="str">
        <x:v>test_is_proposed</x:v>
      </x:c>
      <x:c r="I23" s="14" t="str">
        <x:v>noul</x:v>
      </x:c>
      <x:c r="J23" s="14" t="str">
        <x:v>Does the current utterance explicitly propose performing a test, experiment, prototype, trial, measurement, validation, or comparison?</x:v>
      </x:c>
      <x:c r="K23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  <x:c r="L23" s="14" t="str">
        <x:v>false</x:v>
      </x:c>
      <x:c r="M23" s="14" t="str">
        <x:v>No experiment, prototype, measurement, or comparison is proposed.</x:v>
      </x:c>
      <x:c r="N23" s="14" t="str">
        <x:v>false</x:v>
      </x:c>
      <x:c r="O23" s="14" t="str">
        <x:v>false</x:v>
      </x:c>
      <x:c r="P23" s="14" t="str">
        <x:v>true 6% | false 94%</x:v>
      </x:c>
      <x:c r="Q23" s="14" t="str">
        <x:v>94%</x:v>
      </x:c>
      <x:c r="R23" s="14" t="str">
        <x:v>ALINHADO</x:v>
      </x:c>
      <x:c r="S23" s="14" t="str"/>
      <x:c r="T23" s="14" t="str"/>
    </x:row>
    <x:row r="24" ht="100" customHeight="1">
      <x:c r="A24" s="14" t="str">
        <x:v>JEV-003-002</x:v>
      </x:c>
      <x:c r="B24" s="14" t="str">
        <x:v>2026-10-03</x:v>
      </x:c>
      <x:c r="C24" s="14" t="str">
        <x:v>jev-latest</x:v>
      </x:c>
      <x:c r="D24" s="14" t="str">
        <x:v>v2</x:v>
      </x:c>
      <x:c r="E24" s="14" t="str">
        <x:v>Speaker A: We have been seeing too much deformation around this bracket.
Speaker B: The current part is 3 mm aluminum.
Speaker A: We haven't tested another thickness yet.</x:v>
      </x:c>
      <x:c r="F24" s="14" t="str">
        <x:v>Speaker C: Maybe we could use aluminum.</x:v>
      </x:c>
      <x:c r="G24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4" s="14" t="str">
        <x:v>decision_is_final</x:v>
      </x:c>
      <x:c r="I24" s="14" t="str">
        <x:v>noul</x:v>
      </x:c>
      <x:c r="J24" s="14" t="str">
        <x:v>Does the current utterance commit the project to a choice or change now, without waiting for a future test, condition, approval, or unresolved decision?</x:v>
      </x:c>
      <x:c r="K24" s="14" t="str">
        <x:v>TRUE: The choice or change should be treated as decided and active now. FALSE: It is exploratory, conditional, proposed, waiting on evidence or approval, or no decision is present.</x:v>
      </x:c>
      <x:c r="L24" s="14" t="str">
        <x:v>false</x:v>
      </x:c>
      <x:c r="M24" s="14" t="str">
        <x:v>Maybe we could is exploratory and does not commit the project to the change.</x:v>
      </x:c>
      <x:c r="N24" s="14" t="str">
        <x:v>false</x:v>
      </x:c>
      <x:c r="O24" s="14" t="str">
        <x:v>false</x:v>
      </x:c>
      <x:c r="P24" s="14" t="str">
        <x:v>true 4% | false 96%</x:v>
      </x:c>
      <x:c r="Q24" s="14" t="str">
        <x:v>96%</x:v>
      </x:c>
      <x:c r="R24" s="14" t="str">
        <x:v>ALINHADO</x:v>
      </x:c>
      <x:c r="S24" s="14" t="str"/>
      <x:c r="T24" s="14" t="str"/>
    </x:row>
    <x:row r="25" ht="100" customHeight="1">
      <x:c r="A25" s="14" t="str">
        <x:v>JEV-003-002</x:v>
      </x:c>
      <x:c r="B25" s="14" t="str">
        <x:v>2026-10-03</x:v>
      </x:c>
      <x:c r="C25" s="14" t="str">
        <x:v>jev-latest</x:v>
      </x:c>
      <x:c r="D25" s="14" t="str">
        <x:v>v2</x:v>
      </x:c>
      <x:c r="E25" s="14" t="str">
        <x:v>Speaker A: We have been seeing too much deformation around this bracket.
Speaker B: The current part is 3 mm aluminum.
Speaker A: We haven't tested another thickness yet.</x:v>
      </x:c>
      <x:c r="F25" s="14" t="str">
        <x:v>Speaker C: Maybe we could use aluminum.</x:v>
      </x:c>
      <x:c r="G25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5" s="14" t="str">
        <x:v>pending_decision</x:v>
      </x:c>
      <x:c r="I25" s="14" t="str">
        <x:v>noul</x:v>
      </x:c>
      <x:c r="J25" s="14" t="str">
        <x:v>Does the current utterance establish that a specific project decision is still unresolved and must be made later?</x:v>
      </x:c>
      <x:c r="K25" s="14" t="str">
        <x:v>TRUE: A specific future decision remains open and may depend on a test, evidence, approval, or another condition. FALSE: No future decision is established, or the relevant decision is already final.</x:v>
      </x:c>
      <x:c r="L25" s="14" t="str">
        <x:v>false</x:v>
      </x:c>
      <x:c r="M25" s="14" t="str">
        <x:v>The utterance raises a possibility but does not explicitly establish a future decision process.</x:v>
      </x:c>
      <x:c r="N25" s="14" t="str">
        <x:v>true</x:v>
      </x:c>
      <x:c r="O25" s="14" t="str">
        <x:v>true</x:v>
      </x:c>
      <x:c r="P25" s="14" t="str">
        <x:v>true 57% | false 43%</x:v>
      </x:c>
      <x:c r="Q25" s="14" t="str">
        <x:v>57%</x:v>
      </x:c>
      <x:c r="R25" s="14" t="str">
        <x:v>AMBÍGUO</x:v>
      </x:c>
      <x:c r="S25" s="14" t="str">
        <x:v>BORDERLINE_PENDING_DECISION</x:v>
      </x:c>
      <x:c r="T25" s="14" t="str">
        <x:v>A frase pode ser lida como uma escolha ainda em aberto. A pergunta pending_decision precisa ser observada em mais casos.</x:v>
      </x:c>
    </x:row>
    <x:row r="26" ht="100" customHeight="1">
      <x:c r="A26" s="14" t="str">
        <x:v>JEV-003-002</x:v>
      </x:c>
      <x:c r="B26" s="14" t="str">
        <x:v>2026-10-03</x:v>
      </x:c>
      <x:c r="C26" s="14" t="str">
        <x:v>jev-latest</x:v>
      </x:c>
      <x:c r="D26" s="14" t="str">
        <x:v>v2</x:v>
      </x:c>
      <x:c r="E26" s="14" t="str">
        <x:v>Speaker A: We have been seeing too much deformation around this bracket.
Speaker B: The current part is 3 mm aluminum.
Speaker A: We haven't tested another thickness yet.</x:v>
      </x:c>
      <x:c r="F26" s="14" t="str">
        <x:v>Speaker C: Maybe we could use aluminum.</x:v>
      </x:c>
      <x:c r="G26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6" s="14" t="str">
        <x:v>creates_action_item</x:v>
      </x:c>
      <x:c r="I26" s="14" t="str">
        <x:v>noul</x:v>
      </x:c>
      <x:c r="J26" s="14" t="str">
        <x:v>Does the current utterance establish a concrete task or next action that someone should perform?</x:v>
      </x:c>
      <x:c r="K26" s="14" t="str">
        <x:v>TRUE: A specific activity should be performed, even if no person or deadline is explicitly assigned. FALSE: The utterance only discusses, observes, hypothesizes, or evaluates something without establishing a concrete action.</x:v>
      </x:c>
      <x:c r="L26" s="14" t="str">
        <x:v>false</x:v>
      </x:c>
      <x:c r="M26" s="14" t="str">
        <x:v>No concrete task is established.</x:v>
      </x:c>
      <x:c r="N26" s="14" t="str">
        <x:v>false</x:v>
      </x:c>
      <x:c r="O26" s="14" t="str">
        <x:v>false</x:v>
      </x:c>
      <x:c r="P26" s="14" t="str">
        <x:v>true 18% | false 82%</x:v>
      </x:c>
      <x:c r="Q26" s="14" t="str">
        <x:v>82%</x:v>
      </x:c>
      <x:c r="R26" s="14" t="str">
        <x:v>ALINHADO</x:v>
      </x:c>
      <x:c r="S26" s="14" t="str"/>
      <x:c r="T26" s="14" t="str"/>
    </x:row>
    <x:row r="27" ht="100" customHeight="1">
      <x:c r="A27" s="14" t="str">
        <x:v>JEV-003-002</x:v>
      </x:c>
      <x:c r="B27" s="14" t="str">
        <x:v>2026-10-03</x:v>
      </x:c>
      <x:c r="C27" s="14" t="str">
        <x:v>jev-latest</x:v>
      </x:c>
      <x:c r="D27" s="14" t="str">
        <x:v>v2</x:v>
      </x:c>
      <x:c r="E27" s="14" t="str">
        <x:v>Speaker A: We have been seeing too much deformation around this bracket.
Speaker B: The current part is 3 mm aluminum.
Speaker A: We haven't tested another thickness yet.</x:v>
      </x:c>
      <x:c r="F27" s="14" t="str">
        <x:v>Speaker C: Maybe we could use aluminum.</x:v>
      </x:c>
      <x:c r="G27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7" s="14" t="str">
        <x:v>next_step_commitment</x:v>
      </x:c>
      <x:c r="I27" s="14" t="str">
        <x:v>score</x:v>
      </x:c>
      <x:c r="J27" s="14" t="str">
        <x:v>How strongly does the current utterance commit the team to performing the stated next step?</x:v>
      </x:c>
      <x:c r="K27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  <x:c r="L27" s="14" t="str">
        <x:v>1</x:v>
      </x:c>
      <x:c r="M27" s="14" t="str">
        <x:v>A possible next step is only being considered.</x:v>
      </x:c>
      <x:c r="N27" s="14" t="str">
        <x:v>0.79</x:v>
      </x:c>
      <x:c r="O27" s="14" t="str">
        <x:v>0.79</x:v>
      </x:c>
      <x:c r="P27" s="14" t="str">
        <x:v>L0 22% | L1 77% | L2 1% | L3 0%</x:v>
      </x:c>
      <x:c r="Q27" s="14" t="str">
        <x:v>78%</x:v>
      </x:c>
      <x:c r="R27" s="14" t="str">
        <x:v>ALINHADO</x:v>
      </x:c>
      <x:c r="S27" s="14" t="str"/>
      <x:c r="T27" s="14" t="str"/>
    </x:row>
    <x:row r="28" ht="100" customHeight="1">
      <x:c r="A28" s="14" t="str">
        <x:v>JEV-003-002</x:v>
      </x:c>
      <x:c r="B28" s="14" t="str">
        <x:v>2026-10-03</x:v>
      </x:c>
      <x:c r="C28" s="14" t="str">
        <x:v>jev-latest</x:v>
      </x:c>
      <x:c r="D28" s="14" t="str">
        <x:v>v2</x:v>
      </x:c>
      <x:c r="E28" s="14" t="str">
        <x:v>Speaker A: We have been seeing too much deformation around this bracket.
Speaker B: The current part is 3 mm aluminum.
Speaker A: We haven't tested another thickness yet.</x:v>
      </x:c>
      <x:c r="F28" s="14" t="str">
        <x:v>Speaker C: Maybe we could use aluminum.</x:v>
      </x:c>
      <x:c r="G28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8" s="14" t="str">
        <x:v>change_commitment</x:v>
      </x:c>
      <x:c r="I28" s="14" t="str">
        <x:v>score</x:v>
      </x:c>
      <x:c r="J28" s="14" t="str">
        <x:v>How committed is the project to the underlying project change itself, excluding commitment to testing or discussing it?</x:v>
      </x:c>
      <x:c r="K28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  <x:c r="L28" s="14" t="str">
        <x:v>1</x:v>
      </x:c>
      <x:c r="M28" s="14" t="str">
        <x:v>The material change is only being explored.</x:v>
      </x:c>
      <x:c r="N28" s="14" t="str">
        <x:v>0.94</x:v>
      </x:c>
      <x:c r="O28" s="14" t="str">
        <x:v>0.94</x:v>
      </x:c>
      <x:c r="P28" s="14" t="str">
        <x:v>L0 9% | L1 88% | L2 3% | L3 0%</x:v>
      </x:c>
      <x:c r="Q28" s="14" t="str">
        <x:v>88%</x:v>
      </x:c>
      <x:c r="R28" s="14" t="str">
        <x:v>ALINHADO</x:v>
      </x:c>
      <x:c r="S28" s="14" t="str"/>
      <x:c r="T28" s="14" t="str"/>
    </x:row>
    <x:row r="29" ht="100" customHeight="1">
      <x:c r="A29" s="14" t="str">
        <x:v>JEV-003-002</x:v>
      </x:c>
      <x:c r="B29" s="14" t="str">
        <x:v>2026-10-03</x:v>
      </x:c>
      <x:c r="C29" s="14" t="str">
        <x:v>jev-latest</x:v>
      </x:c>
      <x:c r="D29" s="14" t="str">
        <x:v>v2</x:v>
      </x:c>
      <x:c r="E29" s="14" t="str">
        <x:v>Speaker A: We have been seeing too much deformation around this bracket.
Speaker B: The current part is 3 mm aluminum.
Speaker A: We haven't tested another thickness yet.</x:v>
      </x:c>
      <x:c r="F29" s="14" t="str">
        <x:v>Speaker C: Maybe we could use aluminum.</x:v>
      </x:c>
      <x:c r="G29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29" s="14" t="str">
        <x:v>project_impact</x:v>
      </x:c>
      <x:c r="I29" s="14" t="str">
        <x:v>score</x:v>
      </x:c>
      <x:c r="J29" s="14" t="str">
        <x:v>Assuming the event described in the current utterance proceeds or is valid, how broad would its impact on the project be?</x:v>
      </x:c>
      <x:c r="K29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  <x:c r="L29" s="14" t="str">
        <x:v>2</x:v>
      </x:c>
      <x:c r="M29" s="14" t="str">
        <x:v>If a genuine material change were pursued, it would affect a component and a near-term engineering decision.</x:v>
      </x:c>
      <x:c r="N29" s="14" t="str">
        <x:v>1.21</x:v>
      </x:c>
      <x:c r="O29" s="14" t="str">
        <x:v>1.21</x:v>
      </x:c>
      <x:c r="P29" s="14" t="str">
        <x:v>L0 31% | L1 21% | L2 44% | L3 4%</x:v>
      </x:c>
      <x:c r="Q29" s="14" t="str">
        <x:v>14%</x:v>
      </x:c>
      <x:c r="R29" s="14" t="str">
        <x:v>FALHA</x:v>
      </x:c>
      <x:c r="S29" s="14" t="str">
        <x:v>LOW_CONFIDENCE_UNDERESTIMATED_IMPACT</x:v>
      </x:c>
      <x:c r="T29" s="14" t="str">
        <x:v>A distribuição ficou muito espalhada e o score caiu para 1.21. O próprio Jev indicou confidence de apenas 14%.</x:v>
      </x:c>
    </x:row>
    <x:row r="30" ht="100" customHeight="1">
      <x:c r="A30" s="14" t="str">
        <x:v>JEV-003-002</x:v>
      </x:c>
      <x:c r="B30" s="14" t="str">
        <x:v>2026-10-03</x:v>
      </x:c>
      <x:c r="C30" s="14" t="str">
        <x:v>jev-latest</x:v>
      </x:c>
      <x:c r="D30" s="14" t="str">
        <x:v>v2</x:v>
      </x:c>
      <x:c r="E30" s="14" t="str">
        <x:v>Speaker A: We have been seeing too much deformation around this bracket.
Speaker B: The current part is 3 mm aluminum.
Speaker A: We haven't tested another thickness yet.</x:v>
      </x:c>
      <x:c r="F30" s="14" t="str">
        <x:v>Speaker C: Maybe we could use aluminum.</x:v>
      </x:c>
      <x:c r="G30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30" s="14" t="str">
        <x:v>primary_affected_area</x:v>
      </x:c>
      <x:c r="I30" s="14" t="str">
        <x:v>choice</x:v>
      </x:c>
      <x:c r="J30" s="14" t="str">
        <x:v>Which project area is most directly affected by the current utterance?</x:v>
      </x:c>
      <x:c r="K30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  <x:c r="L30" s="14" t="str">
        <x:v>material</x:v>
      </x:c>
      <x:c r="M30" s="14" t="str">
        <x:v>The utterance is specifically about material selection.</x:v>
      </x:c>
      <x:c r="N30" s="14" t="str">
        <x:v>material</x:v>
      </x:c>
      <x:c r="O30" s="14" t="str">
        <x:v>material</x:v>
      </x:c>
      <x:c r="P30" s="14" t="str">
        <x:v>material 100% | all others 0%</x:v>
      </x:c>
      <x:c r="Q30" s="14" t="str">
        <x:v>99%</x:v>
      </x:c>
      <x:c r="R30" s="14" t="str">
        <x:v>ALINHADO</x:v>
      </x:c>
      <x:c r="S30" s="14" t="str"/>
      <x:c r="T30" s="14" t="str"/>
    </x:row>
    <x:row r="31" ht="100" customHeight="1">
      <x:c r="A31" s="14" t="str">
        <x:v>JEV-003-002</x:v>
      </x:c>
      <x:c r="B31" s="14" t="str">
        <x:v>2026-10-03</x:v>
      </x:c>
      <x:c r="C31" s="14" t="str">
        <x:v>jev-latest</x:v>
      </x:c>
      <x:c r="D31" s="14" t="str">
        <x:v>v2</x:v>
      </x:c>
      <x:c r="E31" s="14" t="str">
        <x:v>Speaker A: We have been seeing too much deformation around this bracket.
Speaker B: The current part is 3 mm aluminum.
Speaker A: We haven't tested another thickness yet.</x:v>
      </x:c>
      <x:c r="F31" s="14" t="str">
        <x:v>Speaker C: Maybe we could use aluminum.</x:v>
      </x:c>
      <x:c r="G31" s="14" t="str">
        <x:v>{"recent_context": ["Speaker A: We have been seeing too much deformation around this bracket.", "Speaker B: The current part is 3 mm aluminum.", "Speaker A: We haven't tested another thickness yet."], "current_utterance": "Speaker C: Maybe we could use aluminum."}</x:v>
      </x:c>
      <x:c r="H31" s="14" t="str">
        <x:v>requires_followup</x:v>
      </x:c>
      <x:c r="I31" s="14" t="str">
        <x:v>noul</x:v>
      </x:c>
      <x:c r="J31" s="14" t="str">
        <x:v>Does the current utterance create or update something whose outcome should be checked again later?</x:v>
      </x:c>
      <x:c r="K31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  <x:c r="L31" s="14" t="str">
        <x:v>true</x:v>
      </x:c>
      <x:c r="M31" s="14" t="str">
        <x:v>A genuine proposed material change should be revisited before it is accepted or rejected.</x:v>
      </x:c>
      <x:c r="N31" s="14" t="str">
        <x:v>true</x:v>
      </x:c>
      <x:c r="O31" s="14" t="str">
        <x:v>true</x:v>
      </x:c>
      <x:c r="P31" s="14" t="str">
        <x:v>true 74% | false 26%</x:v>
      </x:c>
      <x:c r="Q31" s="14" t="str">
        <x:v>74%</x:v>
      </x:c>
      <x:c r="R31" s="14" t="str">
        <x:v>ALINHADO</x:v>
      </x:c>
      <x:c r="S31" s="14" t="str"/>
      <x:c r="T31" s="14" t="str"/>
    </x:row>
    <x:row r="32" ht="100" customHeight="1">
      <x:c r="A32" s="14" t="str">
        <x:v>JEV-003-003</x:v>
      </x:c>
      <x:c r="B32" s="14" t="str">
        <x:v>2026-10-03</x:v>
      </x:c>
      <x:c r="C32" s="14" t="str">
        <x:v>jev-latest</x:v>
      </x:c>
      <x:c r="D32" s="14" t="str">
        <x:v>v2</x:v>
      </x:c>
      <x:c r="E32" s="14" t="str">
        <x:v>Speaker A: We have been seeing too much deformation around this bracket.
Speaker B: The current part is 3 mm aluminum.
Speaker A: We haven't tested another thickness yet.</x:v>
      </x:c>
      <x:c r="F32" s="14" t="str">
        <x:v>Speaker C: We should investigate whether aluminum works.</x:v>
      </x:c>
      <x:c r="G32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32" s="14" t="str">
        <x:v>should_track</x:v>
      </x:c>
      <x:c r="I32" s="14" t="str">
        <x:v>noul</x:v>
      </x:c>
      <x:c r="J32" s="14" t="str">
        <x:v>Should the current utterance create a new tracked project item or update an existing tracked item?</x:v>
      </x:c>
      <x:c r="K32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  <x:c r="L32" s="14" t="str">
        <x:v>true</x:v>
      </x:c>
      <x:c r="M32" s="14" t="str">
        <x:v>The investigation creates an item whose outcome matters later.</x:v>
      </x:c>
      <x:c r="N32" s="14" t="str">
        <x:v>true</x:v>
      </x:c>
      <x:c r="O32" s="14" t="str">
        <x:v>true</x:v>
      </x:c>
      <x:c r="P32" s="14" t="str">
        <x:v>true 79% | false 21%</x:v>
      </x:c>
      <x:c r="Q32" s="14" t="str">
        <x:v>79%</x:v>
      </x:c>
      <x:c r="R32" s="14" t="str">
        <x:v>ALINHADO</x:v>
      </x:c>
      <x:c r="S32" s="14" t="str"/>
      <x:c r="T32" s="14" t="str"/>
    </x:row>
    <x:row r="33" ht="100" customHeight="1">
      <x:c r="A33" s="14" t="str">
        <x:v>JEV-003-003</x:v>
      </x:c>
      <x:c r="B33" s="14" t="str">
        <x:v>2026-10-03</x:v>
      </x:c>
      <x:c r="C33" s="14" t="str">
        <x:v>jev-latest</x:v>
      </x:c>
      <x:c r="D33" s="14" t="str">
        <x:v>v2</x:v>
      </x:c>
      <x:c r="E33" s="14" t="str">
        <x:v>Speaker A: We have been seeing too much deformation around this bracket.
Speaker B: The current part is 3 mm aluminum.
Speaker A: We haven't tested another thickness yet.</x:v>
      </x:c>
      <x:c r="F33" s="14" t="str">
        <x:v>Speaker C: We should investigate whether aluminum works.</x:v>
      </x:c>
      <x:c r="G33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33" s="14" t="str">
        <x:v>event_type</x:v>
      </x:c>
      <x:c r="I33" s="14" t="str">
        <x:v>choice</x:v>
      </x:c>
      <x:c r="J33" s="14" t="str">
        <x:v>Classify the primary project event expressed in the current utterance.</x:v>
      </x:c>
      <x:c r="K33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  <x:c r="L33" s="14" t="str">
        <x:v>test_proposal</x:v>
      </x:c>
      <x:c r="M33" s="14" t="str">
        <x:v>Investigating whether the material works is primarily a validation activity.</x:v>
      </x:c>
      <x:c r="N33" s="14" t="str">
        <x:v>test_proposal</x:v>
      </x:c>
      <x:c r="O33" s="14" t="str">
        <x:v>test_proposal</x:v>
      </x:c>
      <x:c r="P33" s="14" t="str">
        <x:v>test_proposal 85% | action_item 13% | change_proposal 1% | hypothesis 1% | all others 0%</x:v>
      </x:c>
      <x:c r="Q33" s="14" t="str">
        <x:v>84%</x:v>
      </x:c>
      <x:c r="R33" s="14" t="str">
        <x:v>ALINHADO</x:v>
      </x:c>
      <x:c r="S33" s="14" t="str"/>
      <x:c r="T33" s="14" t="str"/>
    </x:row>
    <x:row r="34" ht="100" customHeight="1">
      <x:c r="A34" s="14" t="str">
        <x:v>JEV-003-003</x:v>
      </x:c>
      <x:c r="B34" s="14" t="str">
        <x:v>2026-10-03</x:v>
      </x:c>
      <x:c r="C34" s="14" t="str">
        <x:v>jev-latest</x:v>
      </x:c>
      <x:c r="D34" s="14" t="str">
        <x:v>v2</x:v>
      </x:c>
      <x:c r="E34" s="14" t="str">
        <x:v>Speaker A: We have been seeing too much deformation around this bracket.
Speaker B: The current part is 3 mm aluminum.
Speaker A: We haven't tested another thickness yet.</x:v>
      </x:c>
      <x:c r="F34" s="14" t="str">
        <x:v>Speaker C: We should investigate whether aluminum works.</x:v>
      </x:c>
      <x:c r="G34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34" s="14" t="str">
        <x:v>test_is_proposed</x:v>
      </x:c>
      <x:c r="I34" s="14" t="str">
        <x:v>noul</x:v>
      </x:c>
      <x:c r="J34" s="14" t="str">
        <x:v>Does the current utterance explicitly propose performing a test, experiment, prototype, trial, measurement, validation, or comparison?</x:v>
      </x:c>
      <x:c r="K34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  <x:c r="L34" s="14" t="str">
        <x:v>true</x:v>
      </x:c>
      <x:c r="M34" s="14" t="str">
        <x:v>The speaker proposes an investigation intended to determine whether the material works.</x:v>
      </x:c>
      <x:c r="N34" s="14" t="str">
        <x:v>true</x:v>
      </x:c>
      <x:c r="O34" s="14" t="str">
        <x:v>true</x:v>
      </x:c>
      <x:c r="P34" s="14" t="str">
        <x:v>true 60% | false 40%</x:v>
      </x:c>
      <x:c r="Q34" s="14" t="str">
        <x:v>60%</x:v>
      </x:c>
      <x:c r="R34" s="14" t="str">
        <x:v>ALINHADO</x:v>
      </x:c>
      <x:c r="S34" s="14" t="str">
        <x:v>LOW_MARGIN</x:v>
      </x:c>
      <x:c r="T34" s="14" t="str">
        <x:v>Correto, mas com margem baixa.</x:v>
      </x:c>
    </x:row>
    <x:row r="35" ht="100" customHeight="1">
      <x:c r="A35" s="14" t="str">
        <x:v>JEV-003-003</x:v>
      </x:c>
      <x:c r="B35" s="14" t="str">
        <x:v>2026-10-03</x:v>
      </x:c>
      <x:c r="C35" s="14" t="str">
        <x:v>jev-latest</x:v>
      </x:c>
      <x:c r="D35" s="14" t="str">
        <x:v>v2</x:v>
      </x:c>
      <x:c r="E35" s="14" t="str">
        <x:v>Speaker A: We have been seeing too much deformation around this bracket.
Speaker B: The current part is 3 mm aluminum.
Speaker A: We haven't tested another thickness yet.</x:v>
      </x:c>
      <x:c r="F35" s="14" t="str">
        <x:v>Speaker C: We should investigate whether aluminum works.</x:v>
      </x:c>
      <x:c r="G35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35" s="14" t="str">
        <x:v>decision_is_final</x:v>
      </x:c>
      <x:c r="I35" s="14" t="str">
        <x:v>noul</x:v>
      </x:c>
      <x:c r="J35" s="14" t="str">
        <x:v>Does the current utterance commit the project to a choice or change now, without waiting for a future test, condition, approval, or unresolved decision?</x:v>
      </x:c>
      <x:c r="K35" s="14" t="str">
        <x:v>TRUE: The choice or change should be treated as decided and active now. FALSE: It is exploratory, conditional, proposed, waiting on evidence or approval, or no decision is present.</x:v>
      </x:c>
      <x:c r="L35" s="14" t="str">
        <x:v>false</x:v>
      </x:c>
      <x:c r="M35" s="14" t="str">
        <x:v>The statement asks for investigation rather than committing to a change.</x:v>
      </x:c>
      <x:c r="N35" s="14" t="str">
        <x:v>false</x:v>
      </x:c>
      <x:c r="O35" s="14" t="str">
        <x:v>false</x:v>
      </x:c>
      <x:c r="P35" s="14" t="str">
        <x:v>true 5% | false 95%</x:v>
      </x:c>
      <x:c r="Q35" s="14" t="str">
        <x:v>95%</x:v>
      </x:c>
      <x:c r="R35" s="14" t="str">
        <x:v>ALINHADO</x:v>
      </x:c>
      <x:c r="S35" s="14" t="str"/>
      <x:c r="T35" s="14" t="str"/>
    </x:row>
    <x:row r="36" ht="100" customHeight="1">
      <x:c r="A36" s="14" t="str">
        <x:v>JEV-003-003</x:v>
      </x:c>
      <x:c r="B36" s="14" t="str">
        <x:v>2026-10-03</x:v>
      </x:c>
      <x:c r="C36" s="14" t="str">
        <x:v>jev-latest</x:v>
      </x:c>
      <x:c r="D36" s="14" t="str">
        <x:v>v2</x:v>
      </x:c>
      <x:c r="E36" s="14" t="str">
        <x:v>Speaker A: We have been seeing too much deformation around this bracket.
Speaker B: The current part is 3 mm aluminum.
Speaker A: We haven't tested another thickness yet.</x:v>
      </x:c>
      <x:c r="F36" s="14" t="str">
        <x:v>Speaker C: We should investigate whether aluminum works.</x:v>
      </x:c>
      <x:c r="G36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36" s="14" t="str">
        <x:v>pending_decision</x:v>
      </x:c>
      <x:c r="I36" s="14" t="str">
        <x:v>noul</x:v>
      </x:c>
      <x:c r="J36" s="14" t="str">
        <x:v>Does the current utterance establish that a specific project decision is still unresolved and must be made later?</x:v>
      </x:c>
      <x:c r="K36" s="14" t="str">
        <x:v>TRUE: A specific future decision remains open and may depend on a test, evidence, approval, or another condition. FALSE: No future decision is established, or the relevant decision is already final.</x:v>
      </x:c>
      <x:c r="L36" s="14" t="str">
        <x:v>false</x:v>
      </x:c>
      <x:c r="M36" s="14" t="str">
        <x:v>An unresolved technical question is present, but no specific project decision is explicitly established.</x:v>
      </x:c>
      <x:c r="N36" s="14" t="str">
        <x:v>true</x:v>
      </x:c>
      <x:c r="O36" s="14" t="str">
        <x:v>true</x:v>
      </x:c>
      <x:c r="P36" s="14" t="str">
        <x:v>true 82% | false 18%</x:v>
      </x:c>
      <x:c r="Q36" s="14" t="str">
        <x:v>82%</x:v>
      </x:c>
      <x:c r="R36" s="14" t="str">
        <x:v>FALHA</x:v>
      </x:c>
      <x:c r="S36" s="14" t="str">
        <x:v>OVERINFERRED_PENDING_DECISION</x:v>
      </x:c>
      <x:c r="T36" s="14" t="str">
        <x:v>O modelo transformou uma investigação aberta em uma decisão futura específica.</x:v>
      </x:c>
    </x:row>
    <x:row r="37" ht="100" customHeight="1">
      <x:c r="A37" s="14" t="str">
        <x:v>JEV-003-003</x:v>
      </x:c>
      <x:c r="B37" s="14" t="str">
        <x:v>2026-10-03</x:v>
      </x:c>
      <x:c r="C37" s="14" t="str">
        <x:v>jev-latest</x:v>
      </x:c>
      <x:c r="D37" s="14" t="str">
        <x:v>v2</x:v>
      </x:c>
      <x:c r="E37" s="14" t="str">
        <x:v>Speaker A: We have been seeing too much deformation around this bracket.
Speaker B: The current part is 3 mm aluminum.
Speaker A: We haven't tested another thickness yet.</x:v>
      </x:c>
      <x:c r="F37" s="14" t="str">
        <x:v>Speaker C: We should investigate whether aluminum works.</x:v>
      </x:c>
      <x:c r="G37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37" s="14" t="str">
        <x:v>creates_action_item</x:v>
      </x:c>
      <x:c r="I37" s="14" t="str">
        <x:v>noul</x:v>
      </x:c>
      <x:c r="J37" s="14" t="str">
        <x:v>Does the current utterance establish a concrete task or next action that someone should perform?</x:v>
      </x:c>
      <x:c r="K37" s="14" t="str">
        <x:v>TRUE: A specific activity should be performed, even if no person or deadline is explicitly assigned. FALSE: The utterance only discusses, observes, hypothesizes, or evaluates something without establishing a concrete action.</x:v>
      </x:c>
      <x:c r="L37" s="14" t="str">
        <x:v>true</x:v>
      </x:c>
      <x:c r="M37" s="14" t="str">
        <x:v>Investigate whether aluminum works is a concrete next action.</x:v>
      </x:c>
      <x:c r="N37" s="14" t="str">
        <x:v>true</x:v>
      </x:c>
      <x:c r="O37" s="14" t="str">
        <x:v>true</x:v>
      </x:c>
      <x:c r="P37" s="14" t="str">
        <x:v>true 81% | false 19%</x:v>
      </x:c>
      <x:c r="Q37" s="14" t="str">
        <x:v>81%</x:v>
      </x:c>
      <x:c r="R37" s="14" t="str">
        <x:v>ALINHADO</x:v>
      </x:c>
      <x:c r="S37" s="14" t="str"/>
      <x:c r="T37" s="14" t="str"/>
    </x:row>
    <x:row r="38" ht="100" customHeight="1">
      <x:c r="A38" s="14" t="str">
        <x:v>JEV-003-003</x:v>
      </x:c>
      <x:c r="B38" s="14" t="str">
        <x:v>2026-10-03</x:v>
      </x:c>
      <x:c r="C38" s="14" t="str">
        <x:v>jev-latest</x:v>
      </x:c>
      <x:c r="D38" s="14" t="str">
        <x:v>v2</x:v>
      </x:c>
      <x:c r="E38" s="14" t="str">
        <x:v>Speaker A: We have been seeing too much deformation around this bracket.
Speaker B: The current part is 3 mm aluminum.
Speaker A: We haven't tested another thickness yet.</x:v>
      </x:c>
      <x:c r="F38" s="14" t="str">
        <x:v>Speaker C: We should investigate whether aluminum works.</x:v>
      </x:c>
      <x:c r="G38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38" s="14" t="str">
        <x:v>next_step_commitment</x:v>
      </x:c>
      <x:c r="I38" s="14" t="str">
        <x:v>score</x:v>
      </x:c>
      <x:c r="J38" s="14" t="str">
        <x:v>How strongly does the current utterance commit the team to performing the stated next step?</x:v>
      </x:c>
      <x:c r="K38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  <x:c r="L38" s="14" t="str">
        <x:v>2</x:v>
      </x:c>
      <x:c r="M38" s="14" t="str">
        <x:v>A concrete investigation is proposed, but no explicit assignment or schedule is given.</x:v>
      </x:c>
      <x:c r="N38" s="14" t="str">
        <x:v>1.92</x:v>
      </x:c>
      <x:c r="O38" s="14" t="str">
        <x:v>1.92</x:v>
      </x:c>
      <x:c r="P38" s="14" t="str">
        <x:v>L0 0% | L1 8% | L2 92% | L3 0%</x:v>
      </x:c>
      <x:c r="Q38" s="14" t="str">
        <x:v>91%</x:v>
      </x:c>
      <x:c r="R38" s="14" t="str">
        <x:v>ALINHADO</x:v>
      </x:c>
      <x:c r="S38" s="14" t="str"/>
      <x:c r="T38" s="14" t="str"/>
    </x:row>
    <x:row r="39" ht="100" customHeight="1">
      <x:c r="A39" s="14" t="str">
        <x:v>JEV-003-003</x:v>
      </x:c>
      <x:c r="B39" s="14" t="str">
        <x:v>2026-10-03</x:v>
      </x:c>
      <x:c r="C39" s="14" t="str">
        <x:v>jev-latest</x:v>
      </x:c>
      <x:c r="D39" s="14" t="str">
        <x:v>v2</x:v>
      </x:c>
      <x:c r="E39" s="14" t="str">
        <x:v>Speaker A: We have been seeing too much deformation around this bracket.
Speaker B: The current part is 3 mm aluminum.
Speaker A: We haven't tested another thickness yet.</x:v>
      </x:c>
      <x:c r="F39" s="14" t="str">
        <x:v>Speaker C: We should investigate whether aluminum works.</x:v>
      </x:c>
      <x:c r="G39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39" s="14" t="str">
        <x:v>change_commitment</x:v>
      </x:c>
      <x:c r="I39" s="14" t="str">
        <x:v>score</x:v>
      </x:c>
      <x:c r="J39" s="14" t="str">
        <x:v>How committed is the project to the underlying project change itself, excluding commitment to testing or discussing it?</x:v>
      </x:c>
      <x:c r="K39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  <x:c r="L39" s="14" t="str">
        <x:v>1</x:v>
      </x:c>
      <x:c r="M39" s="14" t="str">
        <x:v>The underlying change is only being explored.</x:v>
      </x:c>
      <x:c r="N39" s="14" t="str">
        <x:v>0.95</x:v>
      </x:c>
      <x:c r="O39" s="14" t="str">
        <x:v>0.95</x:v>
      </x:c>
      <x:c r="P39" s="14" t="str">
        <x:v>L0 7% | L1 91% | L2 2% | L3 0%</x:v>
      </x:c>
      <x:c r="Q39" s="14" t="str">
        <x:v>90%</x:v>
      </x:c>
      <x:c r="R39" s="14" t="str">
        <x:v>ALINHADO</x:v>
      </x:c>
      <x:c r="S39" s="14" t="str"/>
      <x:c r="T39" s="14" t="str"/>
    </x:row>
    <x:row r="40" ht="100" customHeight="1">
      <x:c r="A40" s="14" t="str">
        <x:v>JEV-003-003</x:v>
      </x:c>
      <x:c r="B40" s="14" t="str">
        <x:v>2026-10-03</x:v>
      </x:c>
      <x:c r="C40" s="14" t="str">
        <x:v>jev-latest</x:v>
      </x:c>
      <x:c r="D40" s="14" t="str">
        <x:v>v2</x:v>
      </x:c>
      <x:c r="E40" s="14" t="str">
        <x:v>Speaker A: We have been seeing too much deformation around this bracket.
Speaker B: The current part is 3 mm aluminum.
Speaker A: We haven't tested another thickness yet.</x:v>
      </x:c>
      <x:c r="F40" s="14" t="str">
        <x:v>Speaker C: We should investigate whether aluminum works.</x:v>
      </x:c>
      <x:c r="G40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40" s="14" t="str">
        <x:v>project_impact</x:v>
      </x:c>
      <x:c r="I40" s="14" t="str">
        <x:v>score</x:v>
      </x:c>
      <x:c r="J40" s="14" t="str">
        <x:v>Assuming the event described in the current utterance proceeds or is valid, how broad would its impact on the project be?</x:v>
      </x:c>
      <x:c r="K40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  <x:c r="L40" s="14" t="str">
        <x:v>2</x:v>
      </x:c>
      <x:c r="M40" s="14" t="str">
        <x:v>The investigation could affect a component and a near-term engineering decision.</x:v>
      </x:c>
      <x:c r="N40" s="14" t="str">
        <x:v>2.00</x:v>
      </x:c>
      <x:c r="O40" s="14" t="str">
        <x:v>2.00</x:v>
      </x:c>
      <x:c r="P40" s="14" t="str">
        <x:v>L0 1% | L1 2% | L2 95% | L3 2%</x:v>
      </x:c>
      <x:c r="Q40" s="14" t="str">
        <x:v>95%</x:v>
      </x:c>
      <x:c r="R40" s="14" t="str">
        <x:v>ALINHADO</x:v>
      </x:c>
      <x:c r="S40" s="14" t="str"/>
      <x:c r="T40" s="14" t="str"/>
    </x:row>
    <x:row r="41" ht="100" customHeight="1">
      <x:c r="A41" s="14" t="str">
        <x:v>JEV-003-003</x:v>
      </x:c>
      <x:c r="B41" s="14" t="str">
        <x:v>2026-10-03</x:v>
      </x:c>
      <x:c r="C41" s="14" t="str">
        <x:v>jev-latest</x:v>
      </x:c>
      <x:c r="D41" s="14" t="str">
        <x:v>v2</x:v>
      </x:c>
      <x:c r="E41" s="14" t="str">
        <x:v>Speaker A: We have been seeing too much deformation around this bracket.
Speaker B: The current part is 3 mm aluminum.
Speaker A: We haven't tested another thickness yet.</x:v>
      </x:c>
      <x:c r="F41" s="14" t="str">
        <x:v>Speaker C: We should investigate whether aluminum works.</x:v>
      </x:c>
      <x:c r="G41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41" s="14" t="str">
        <x:v>primary_affected_area</x:v>
      </x:c>
      <x:c r="I41" s="14" t="str">
        <x:v>choice</x:v>
      </x:c>
      <x:c r="J41" s="14" t="str">
        <x:v>Which project area is most directly affected by the current utterance?</x:v>
      </x:c>
      <x:c r="K41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  <x:c r="L41" s="14" t="str">
        <x:v>material</x:v>
      </x:c>
      <x:c r="M41" s="14" t="str">
        <x:v>The investigation is directly about whether the material works.</x:v>
      </x:c>
      <x:c r="N41" s="14" t="str">
        <x:v>material</x:v>
      </x:c>
      <x:c r="O41" s="14" t="str">
        <x:v>material</x:v>
      </x:c>
      <x:c r="P41" s="14" t="str">
        <x:v>material 99% | performance 1% | all others 0%</x:v>
      </x:c>
      <x:c r="Q41" s="14" t="str">
        <x:v>99%</x:v>
      </x:c>
      <x:c r="R41" s="14" t="str">
        <x:v>ALINHADO</x:v>
      </x:c>
      <x:c r="S41" s="14" t="str"/>
      <x:c r="T41" s="14" t="str"/>
    </x:row>
    <x:row r="42" ht="100" customHeight="1">
      <x:c r="A42" s="14" t="str">
        <x:v>JEV-003-003</x:v>
      </x:c>
      <x:c r="B42" s="14" t="str">
        <x:v>2026-10-03</x:v>
      </x:c>
      <x:c r="C42" s="14" t="str">
        <x:v>jev-latest</x:v>
      </x:c>
      <x:c r="D42" s="14" t="str">
        <x:v>v2</x:v>
      </x:c>
      <x:c r="E42" s="14" t="str">
        <x:v>Speaker A: We have been seeing too much deformation around this bracket.
Speaker B: The current part is 3 mm aluminum.
Speaker A: We haven't tested another thickness yet.</x:v>
      </x:c>
      <x:c r="F42" s="14" t="str">
        <x:v>Speaker C: We should investigate whether aluminum works.</x:v>
      </x:c>
      <x:c r="G42" s="14" t="str">
        <x:v>{"recent_context": ["Speaker A: We have been seeing too much deformation around this bracket.", "Speaker B: The current part is 3 mm aluminum.", "Speaker A: We haven't tested another thickness yet."], "current_utterance": "Speaker C: We should investigate whether aluminum works."}</x:v>
      </x:c>
      <x:c r="H42" s="14" t="str">
        <x:v>requires_followup</x:v>
      </x:c>
      <x:c r="I42" s="14" t="str">
        <x:v>noul</x:v>
      </x:c>
      <x:c r="J42" s="14" t="str">
        <x:v>Does the current utterance create or update something whose outcome should be checked again later?</x:v>
      </x:c>
      <x:c r="K42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  <x:c r="L42" s="14" t="str">
        <x:v>true</x:v>
      </x:c>
      <x:c r="M42" s="14" t="str">
        <x:v>The investigation result must be revisited later.</x:v>
      </x:c>
      <x:c r="N42" s="14" t="str">
        <x:v>true</x:v>
      </x:c>
      <x:c r="O42" s="14" t="str">
        <x:v>true</x:v>
      </x:c>
      <x:c r="P42" s="14" t="str">
        <x:v>true 87% | false 13%</x:v>
      </x:c>
      <x:c r="Q42" s="14" t="str">
        <x:v>87%</x:v>
      </x:c>
      <x:c r="R42" s="14" t="str">
        <x:v>ALINHADO</x:v>
      </x:c>
      <x:c r="S42" s="14" t="str"/>
      <x:c r="T42" s="14" t="str"/>
    </x:row>
    <x:row r="43" ht="100" customHeight="1">
      <x:c r="A43" s="14" t="str">
        <x:v>JEV-003-004</x:v>
      </x:c>
      <x:c r="B43" s="14" t="str">
        <x:v>2026-10-03</x:v>
      </x:c>
      <x:c r="C43" s="14" t="str">
        <x:v>jev-latest</x:v>
      </x:c>
      <x:c r="D43" s="14" t="str">
        <x:v>v2</x:v>
      </x:c>
      <x:c r="E43" s="14" t="str">
        <x:v>Speaker A: We have been seeing too much deformation around this bracket.
Speaker B: The current part is 3 mm aluminum.
Speaker A: We haven't tested another thickness yet.</x:v>
      </x:c>
      <x:c r="F43" s="14" t="str">
        <x:v>Speaker C: Let's test aluminum on one prototype.</x:v>
      </x:c>
      <x:c r="G43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43" s="14" t="str">
        <x:v>should_track</x:v>
      </x:c>
      <x:c r="I43" s="14" t="str">
        <x:v>noul</x:v>
      </x:c>
      <x:c r="J43" s="14" t="str">
        <x:v>Should the current utterance create a new tracked project item or update an existing tracked item?</x:v>
      </x:c>
      <x:c r="K43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  <x:c r="L43" s="14" t="str">
        <x:v>true</x:v>
      </x:c>
      <x:c r="M43" s="14" t="str">
        <x:v>A concrete prototype test should be tracked.</x:v>
      </x:c>
      <x:c r="N43" s="14" t="str">
        <x:v>true</x:v>
      </x:c>
      <x:c r="O43" s="14" t="str">
        <x:v>true</x:v>
      </x:c>
      <x:c r="P43" s="14" t="str">
        <x:v>true 87% | false 13%</x:v>
      </x:c>
      <x:c r="Q43" s="14" t="str">
        <x:v>87%</x:v>
      </x:c>
      <x:c r="R43" s="14" t="str">
        <x:v>ALINHADO</x:v>
      </x:c>
      <x:c r="S43" s="14" t="str"/>
      <x:c r="T43" s="14" t="str"/>
    </x:row>
    <x:row r="44" ht="100" customHeight="1">
      <x:c r="A44" s="14" t="str">
        <x:v>JEV-003-004</x:v>
      </x:c>
      <x:c r="B44" s="14" t="str">
        <x:v>2026-10-03</x:v>
      </x:c>
      <x:c r="C44" s="14" t="str">
        <x:v>jev-latest</x:v>
      </x:c>
      <x:c r="D44" s="14" t="str">
        <x:v>v2</x:v>
      </x:c>
      <x:c r="E44" s="14" t="str">
        <x:v>Speaker A: We have been seeing too much deformation around this bracket.
Speaker B: The current part is 3 mm aluminum.
Speaker A: We haven't tested another thickness yet.</x:v>
      </x:c>
      <x:c r="F44" s="14" t="str">
        <x:v>Speaker C: Let's test aluminum on one prototype.</x:v>
      </x:c>
      <x:c r="G44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44" s="14" t="str">
        <x:v>event_type</x:v>
      </x:c>
      <x:c r="I44" s="14" t="str">
        <x:v>choice</x:v>
      </x:c>
      <x:c r="J44" s="14" t="str">
        <x:v>Classify the primary project event expressed in the current utterance.</x:v>
      </x:c>
      <x:c r="K44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  <x:c r="L44" s="14" t="str">
        <x:v>test_proposal</x:v>
      </x:c>
      <x:c r="M44" s="14" t="str">
        <x:v>The primary event is explicitly testing aluminum on a prototype.</x:v>
      </x:c>
      <x:c r="N44" s="14" t="str">
        <x:v>test_proposal</x:v>
      </x:c>
      <x:c r="O44" s="14" t="str">
        <x:v>test_proposal</x:v>
      </x:c>
      <x:c r="P44" s="14" t="str">
        <x:v>test_proposal 99% | action_item 1% | all others 0%</x:v>
      </x:c>
      <x:c r="Q44" s="14" t="str">
        <x:v>99%</x:v>
      </x:c>
      <x:c r="R44" s="14" t="str">
        <x:v>ALINHADO</x:v>
      </x:c>
      <x:c r="S44" s="14" t="str"/>
      <x:c r="T44" s="14" t="str"/>
    </x:row>
    <x:row r="45" ht="100" customHeight="1">
      <x:c r="A45" s="14" t="str">
        <x:v>JEV-003-004</x:v>
      </x:c>
      <x:c r="B45" s="14" t="str">
        <x:v>2026-10-03</x:v>
      </x:c>
      <x:c r="C45" s="14" t="str">
        <x:v>jev-latest</x:v>
      </x:c>
      <x:c r="D45" s="14" t="str">
        <x:v>v2</x:v>
      </x:c>
      <x:c r="E45" s="14" t="str">
        <x:v>Speaker A: We have been seeing too much deformation around this bracket.
Speaker B: The current part is 3 mm aluminum.
Speaker A: We haven't tested another thickness yet.</x:v>
      </x:c>
      <x:c r="F45" s="14" t="str">
        <x:v>Speaker C: Let's test aluminum on one prototype.</x:v>
      </x:c>
      <x:c r="G45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45" s="14" t="str">
        <x:v>test_is_proposed</x:v>
      </x:c>
      <x:c r="I45" s="14" t="str">
        <x:v>noul</x:v>
      </x:c>
      <x:c r="J45" s="14" t="str">
        <x:v>Does the current utterance explicitly propose performing a test, experiment, prototype, trial, measurement, validation, or comparison?</x:v>
      </x:c>
      <x:c r="K45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  <x:c r="L45" s="14" t="str">
        <x:v>true</x:v>
      </x:c>
      <x:c r="M45" s="14" t="str">
        <x:v>The sentence explicitly proposes a test.</x:v>
      </x:c>
      <x:c r="N45" s="14" t="str">
        <x:v>true</x:v>
      </x:c>
      <x:c r="O45" s="14" t="str">
        <x:v>true</x:v>
      </x:c>
      <x:c r="P45" s="14" t="str">
        <x:v>true 98% | false 2%</x:v>
      </x:c>
      <x:c r="Q45" s="14" t="str">
        <x:v>98%</x:v>
      </x:c>
      <x:c r="R45" s="14" t="str">
        <x:v>ALINHADO</x:v>
      </x:c>
      <x:c r="S45" s="14" t="str"/>
      <x:c r="T45" s="14" t="str"/>
    </x:row>
    <x:row r="46" ht="100" customHeight="1">
      <x:c r="A46" s="14" t="str">
        <x:v>JEV-003-004</x:v>
      </x:c>
      <x:c r="B46" s="14" t="str">
        <x:v>2026-10-03</x:v>
      </x:c>
      <x:c r="C46" s="14" t="str">
        <x:v>jev-latest</x:v>
      </x:c>
      <x:c r="D46" s="14" t="str">
        <x:v>v2</x:v>
      </x:c>
      <x:c r="E46" s="14" t="str">
        <x:v>Speaker A: We have been seeing too much deformation around this bracket.
Speaker B: The current part is 3 mm aluminum.
Speaker A: We haven't tested another thickness yet.</x:v>
      </x:c>
      <x:c r="F46" s="14" t="str">
        <x:v>Speaker C: Let's test aluminum on one prototype.</x:v>
      </x:c>
      <x:c r="G46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46" s="14" t="str">
        <x:v>decision_is_final</x:v>
      </x:c>
      <x:c r="I46" s="14" t="str">
        <x:v>noul</x:v>
      </x:c>
      <x:c r="J46" s="14" t="str">
        <x:v>Does the current utterance commit the project to a choice or change now, without waiting for a future test, condition, approval, or unresolved decision?</x:v>
      </x:c>
      <x:c r="K46" s="14" t="str">
        <x:v>TRUE: The choice or change should be treated as decided and active now. FALSE: It is exploratory, conditional, proposed, waiting on evidence or approval, or no decision is present.</x:v>
      </x:c>
      <x:c r="L46" s="14" t="str">
        <x:v>false</x:v>
      </x:c>
      <x:c r="M46" s="14" t="str">
        <x:v>Testing a material is not a final project decision.</x:v>
      </x:c>
      <x:c r="N46" s="14" t="str">
        <x:v>false</x:v>
      </x:c>
      <x:c r="O46" s="14" t="str">
        <x:v>false</x:v>
      </x:c>
      <x:c r="P46" s="14" t="str">
        <x:v>true 16% | false 84%</x:v>
      </x:c>
      <x:c r="Q46" s="14" t="str">
        <x:v>84%</x:v>
      </x:c>
      <x:c r="R46" s="14" t="str">
        <x:v>ALINHADO</x:v>
      </x:c>
      <x:c r="S46" s="14" t="str"/>
      <x:c r="T46" s="14" t="str"/>
    </x:row>
    <x:row r="47" ht="100" customHeight="1">
      <x:c r="A47" s="14" t="str">
        <x:v>JEV-003-004</x:v>
      </x:c>
      <x:c r="B47" s="14" t="str">
        <x:v>2026-10-03</x:v>
      </x:c>
      <x:c r="C47" s="14" t="str">
        <x:v>jev-latest</x:v>
      </x:c>
      <x:c r="D47" s="14" t="str">
        <x:v>v2</x:v>
      </x:c>
      <x:c r="E47" s="14" t="str">
        <x:v>Speaker A: We have been seeing too much deformation around this bracket.
Speaker B: The current part is 3 mm aluminum.
Speaker A: We haven't tested another thickness yet.</x:v>
      </x:c>
      <x:c r="F47" s="14" t="str">
        <x:v>Speaker C: Let's test aluminum on one prototype.</x:v>
      </x:c>
      <x:c r="G47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47" s="14" t="str">
        <x:v>pending_decision</x:v>
      </x:c>
      <x:c r="I47" s="14" t="str">
        <x:v>noul</x:v>
      </x:c>
      <x:c r="J47" s="14" t="str">
        <x:v>Does the current utterance establish that a specific project decision is still unresolved and must be made later?</x:v>
      </x:c>
      <x:c r="K47" s="14" t="str">
        <x:v>TRUE: A specific future decision remains open and may depend on a test, evidence, approval, or another condition. FALSE: No future decision is established, or the relevant decision is already final.</x:v>
      </x:c>
      <x:c r="L47" s="14" t="str">
        <x:v>false</x:v>
      </x:c>
      <x:c r="M47" s="14" t="str">
        <x:v>A future decision may be implied, but no specific decision is explicitly established by this utterance.</x:v>
      </x:c>
      <x:c r="N47" s="14" t="str">
        <x:v>true</x:v>
      </x:c>
      <x:c r="O47" s="14" t="str">
        <x:v>true</x:v>
      </x:c>
      <x:c r="P47" s="14" t="str">
        <x:v>true 76% | false 24%</x:v>
      </x:c>
      <x:c r="Q47" s="14" t="str">
        <x:v>76%</x:v>
      </x:c>
      <x:c r="R47" s="14" t="str">
        <x:v>FALHA</x:v>
      </x:c>
      <x:c r="S47" s="14" t="str">
        <x:v>OVERINFERRED_PENDING_DECISION</x:v>
      </x:c>
      <x:c r="T47" s="14" t="str">
        <x:v>Mesmo padrão do Teste 003.</x:v>
      </x:c>
    </x:row>
    <x:row r="48" ht="100" customHeight="1">
      <x:c r="A48" s="14" t="str">
        <x:v>JEV-003-004</x:v>
      </x:c>
      <x:c r="B48" s="14" t="str">
        <x:v>2026-10-03</x:v>
      </x:c>
      <x:c r="C48" s="14" t="str">
        <x:v>jev-latest</x:v>
      </x:c>
      <x:c r="D48" s="14" t="str">
        <x:v>v2</x:v>
      </x:c>
      <x:c r="E48" s="14" t="str">
        <x:v>Speaker A: We have been seeing too much deformation around this bracket.
Speaker B: The current part is 3 mm aluminum.
Speaker A: We haven't tested another thickness yet.</x:v>
      </x:c>
      <x:c r="F48" s="14" t="str">
        <x:v>Speaker C: Let's test aluminum on one prototype.</x:v>
      </x:c>
      <x:c r="G48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48" s="14" t="str">
        <x:v>creates_action_item</x:v>
      </x:c>
      <x:c r="I48" s="14" t="str">
        <x:v>noul</x:v>
      </x:c>
      <x:c r="J48" s="14" t="str">
        <x:v>Does the current utterance establish a concrete task or next action that someone should perform?</x:v>
      </x:c>
      <x:c r="K48" s="14" t="str">
        <x:v>TRUE: A specific activity should be performed, even if no person or deadline is explicitly assigned. FALSE: The utterance only discusses, observes, hypothesizes, or evaluates something without establishing a concrete action.</x:v>
      </x:c>
      <x:c r="L48" s="14" t="str">
        <x:v>true</x:v>
      </x:c>
      <x:c r="M48" s="14" t="str">
        <x:v>Running the prototype test is a concrete task.</x:v>
      </x:c>
      <x:c r="N48" s="14" t="str">
        <x:v>true</x:v>
      </x:c>
      <x:c r="O48" s="14" t="str">
        <x:v>true</x:v>
      </x:c>
      <x:c r="P48" s="14" t="str">
        <x:v>true 93% | false 7%</x:v>
      </x:c>
      <x:c r="Q48" s="14" t="str">
        <x:v>93%</x:v>
      </x:c>
      <x:c r="R48" s="14" t="str">
        <x:v>ALINHADO</x:v>
      </x:c>
      <x:c r="S48" s="14" t="str"/>
      <x:c r="T48" s="14" t="str"/>
    </x:row>
    <x:row r="49" ht="100" customHeight="1">
      <x:c r="A49" s="14" t="str">
        <x:v>JEV-003-004</x:v>
      </x:c>
      <x:c r="B49" s="14" t="str">
        <x:v>2026-10-03</x:v>
      </x:c>
      <x:c r="C49" s="14" t="str">
        <x:v>jev-latest</x:v>
      </x:c>
      <x:c r="D49" s="14" t="str">
        <x:v>v2</x:v>
      </x:c>
      <x:c r="E49" s="14" t="str">
        <x:v>Speaker A: We have been seeing too much deformation around this bracket.
Speaker B: The current part is 3 mm aluminum.
Speaker A: We haven't tested another thickness yet.</x:v>
      </x:c>
      <x:c r="F49" s="14" t="str">
        <x:v>Speaker C: Let's test aluminum on one prototype.</x:v>
      </x:c>
      <x:c r="G49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49" s="14" t="str">
        <x:v>next_step_commitment</x:v>
      </x:c>
      <x:c r="I49" s="14" t="str">
        <x:v>score</x:v>
      </x:c>
      <x:c r="J49" s="14" t="str">
        <x:v>How strongly does the current utterance commit the team to performing the stated next step?</x:v>
      </x:c>
      <x:c r="K49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  <x:c r="L49" s="14" t="str">
        <x:v>2</x:v>
      </x:c>
      <x:c r="M49" s="14" t="str">
        <x:v>Let's test is a concrete proposed next step without explicit assignment or schedule.</x:v>
      </x:c>
      <x:c r="N49" s="14" t="str">
        <x:v>2.13</x:v>
      </x:c>
      <x:c r="O49" s="14" t="str">
        <x:v>2.13</x:v>
      </x:c>
      <x:c r="P49" s="14" t="str">
        <x:v>L0 0% | L1 0% | L2 86% | L3 14%</x:v>
      </x:c>
      <x:c r="Q49" s="14" t="str">
        <x:v>86%</x:v>
      </x:c>
      <x:c r="R49" s="14" t="str">
        <x:v>ALINHADO</x:v>
      </x:c>
      <x:c r="S49" s="14" t="str"/>
      <x:c r="T49" s="14" t="str"/>
    </x:row>
    <x:row r="50" ht="100" customHeight="1">
      <x:c r="A50" s="14" t="str">
        <x:v>JEV-003-004</x:v>
      </x:c>
      <x:c r="B50" s="14" t="str">
        <x:v>2026-10-03</x:v>
      </x:c>
      <x:c r="C50" s="14" t="str">
        <x:v>jev-latest</x:v>
      </x:c>
      <x:c r="D50" s="14" t="str">
        <x:v>v2</x:v>
      </x:c>
      <x:c r="E50" s="14" t="str">
        <x:v>Speaker A: We have been seeing too much deformation around this bracket.
Speaker B: The current part is 3 mm aluminum.
Speaker A: We haven't tested another thickness yet.</x:v>
      </x:c>
      <x:c r="F50" s="14" t="str">
        <x:v>Speaker C: Let's test aluminum on one prototype.</x:v>
      </x:c>
      <x:c r="G50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50" s="14" t="str">
        <x:v>change_commitment</x:v>
      </x:c>
      <x:c r="I50" s="14" t="str">
        <x:v>score</x:v>
      </x:c>
      <x:c r="J50" s="14" t="str">
        <x:v>How committed is the project to the underlying project change itself, excluding commitment to testing or discussing it?</x:v>
      </x:c>
      <x:c r="K50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  <x:c r="L50" s="14" t="str">
        <x:v>1</x:v>
      </x:c>
      <x:c r="M50" s="14" t="str">
        <x:v>The material change itself is still only being explored through testing.</x:v>
      </x:c>
      <x:c r="N50" s="14" t="str">
        <x:v>1.11</x:v>
      </x:c>
      <x:c r="O50" s="14" t="str">
        <x:v>1.11</x:v>
      </x:c>
      <x:c r="P50" s="14" t="str">
        <x:v>L0 7% | L1 76% | L2 17% | L3 0%</x:v>
      </x:c>
      <x:c r="Q50" s="14" t="str">
        <x:v>75%</x:v>
      </x:c>
      <x:c r="R50" s="14" t="str">
        <x:v>ALINHADO</x:v>
      </x:c>
      <x:c r="S50" s="14" t="str"/>
      <x:c r="T50" s="14" t="str"/>
    </x:row>
    <x:row r="51" ht="100" customHeight="1">
      <x:c r="A51" s="14" t="str">
        <x:v>JEV-003-004</x:v>
      </x:c>
      <x:c r="B51" s="14" t="str">
        <x:v>2026-10-03</x:v>
      </x:c>
      <x:c r="C51" s="14" t="str">
        <x:v>jev-latest</x:v>
      </x:c>
      <x:c r="D51" s="14" t="str">
        <x:v>v2</x:v>
      </x:c>
      <x:c r="E51" s="14" t="str">
        <x:v>Speaker A: We have been seeing too much deformation around this bracket.
Speaker B: The current part is 3 mm aluminum.
Speaker A: We haven't tested another thickness yet.</x:v>
      </x:c>
      <x:c r="F51" s="14" t="str">
        <x:v>Speaker C: Let's test aluminum on one prototype.</x:v>
      </x:c>
      <x:c r="G51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51" s="14" t="str">
        <x:v>project_impact</x:v>
      </x:c>
      <x:c r="I51" s="14" t="str">
        <x:v>score</x:v>
      </x:c>
      <x:c r="J51" s="14" t="str">
        <x:v>Assuming the event described in the current utterance proceeds or is valid, how broad would its impact on the project be?</x:v>
      </x:c>
      <x:c r="K51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  <x:c r="L51" s="14" t="str">
        <x:v>2</x:v>
      </x:c>
      <x:c r="M51" s="14" t="str">
        <x:v>The test affects a component and a near-term engineering decision.</x:v>
      </x:c>
      <x:c r="N51" s="14" t="str">
        <x:v>2.00</x:v>
      </x:c>
      <x:c r="O51" s="14" t="str">
        <x:v>2.00</x:v>
      </x:c>
      <x:c r="P51" s="14" t="str">
        <x:v>L0 0% | L1 0% | L2 99% | L3 1%</x:v>
      </x:c>
      <x:c r="Q51" s="14" t="str">
        <x:v>99%</x:v>
      </x:c>
      <x:c r="R51" s="14" t="str">
        <x:v>ALINHADO</x:v>
      </x:c>
      <x:c r="S51" s="14" t="str"/>
      <x:c r="T51" s="14" t="str"/>
    </x:row>
    <x:row r="52" ht="100" customHeight="1">
      <x:c r="A52" s="14" t="str">
        <x:v>JEV-003-004</x:v>
      </x:c>
      <x:c r="B52" s="14" t="str">
        <x:v>2026-10-03</x:v>
      </x:c>
      <x:c r="C52" s="14" t="str">
        <x:v>jev-latest</x:v>
      </x:c>
      <x:c r="D52" s="14" t="str">
        <x:v>v2</x:v>
      </x:c>
      <x:c r="E52" s="14" t="str">
        <x:v>Speaker A: We have been seeing too much deformation around this bracket.
Speaker B: The current part is 3 mm aluminum.
Speaker A: We haven't tested another thickness yet.</x:v>
      </x:c>
      <x:c r="F52" s="14" t="str">
        <x:v>Speaker C: Let's test aluminum on one prototype.</x:v>
      </x:c>
      <x:c r="G52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52" s="14" t="str">
        <x:v>primary_affected_area</x:v>
      </x:c>
      <x:c r="I52" s="14" t="str">
        <x:v>choice</x:v>
      </x:c>
      <x:c r="J52" s="14" t="str">
        <x:v>Which project area is most directly affected by the current utterance?</x:v>
      </x:c>
      <x:c r="K52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  <x:c r="L52" s="14" t="str">
        <x:v>material</x:v>
      </x:c>
      <x:c r="M52" s="14" t="str">
        <x:v>The test variable is the material choice.</x:v>
      </x:c>
      <x:c r="N52" s="14" t="str">
        <x:v>material</x:v>
      </x:c>
      <x:c r="O52" s="14" t="str">
        <x:v>material</x:v>
      </x:c>
      <x:c r="P52" s="14" t="str">
        <x:v>material 53% | performance 29% | process 9% | design 8% | manufacturing 1% | all others 0%</x:v>
      </x:c>
      <x:c r="Q52" s="14" t="str">
        <x:v>46%</x:v>
      </x:c>
      <x:c r="R52" s="14" t="str">
        <x:v>ALINHADO</x:v>
      </x:c>
      <x:c r="S52" s="14" t="str">
        <x:v>LOW_CONFIDENCE</x:v>
      </x:c>
      <x:c r="T52" s="14" t="str">
        <x:v>A resposta principal está correta, mas material e performance ficaram relativamente próximos.</x:v>
      </x:c>
    </x:row>
    <x:row r="53" ht="100" customHeight="1">
      <x:c r="A53" s="14" t="str">
        <x:v>JEV-003-004</x:v>
      </x:c>
      <x:c r="B53" s="14" t="str">
        <x:v>2026-10-03</x:v>
      </x:c>
      <x:c r="C53" s="14" t="str">
        <x:v>jev-latest</x:v>
      </x:c>
      <x:c r="D53" s="14" t="str">
        <x:v>v2</x:v>
      </x:c>
      <x:c r="E53" s="14" t="str">
        <x:v>Speaker A: We have been seeing too much deformation around this bracket.
Speaker B: The current part is 3 mm aluminum.
Speaker A: We haven't tested another thickness yet.</x:v>
      </x:c>
      <x:c r="F53" s="14" t="str">
        <x:v>Speaker C: Let's test aluminum on one prototype.</x:v>
      </x:c>
      <x:c r="G53" s="14" t="str">
        <x:v>{"recent_context": ["Speaker A: We have been seeing too much deformation around this bracket.", "Speaker B: The current part is 3 mm aluminum.", "Speaker A: We haven't tested another thickness yet."], "current_utterance": "Speaker C: Let's test aluminum on one prototype."}</x:v>
      </x:c>
      <x:c r="H53" s="14" t="str">
        <x:v>requires_followup</x:v>
      </x:c>
      <x:c r="I53" s="14" t="str">
        <x:v>noul</x:v>
      </x:c>
      <x:c r="J53" s="14" t="str">
        <x:v>Does the current utterance create or update something whose outcome should be checked again later?</x:v>
      </x:c>
      <x:c r="K53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  <x:c r="L53" s="14" t="str">
        <x:v>true</x:v>
      </x:c>
      <x:c r="M53" s="14" t="str">
        <x:v>The prototype result must be checked later.</x:v>
      </x:c>
      <x:c r="N53" s="14" t="str">
        <x:v>true</x:v>
      </x:c>
      <x:c r="O53" s="14" t="str">
        <x:v>true</x:v>
      </x:c>
      <x:c r="P53" s="14" t="str">
        <x:v>true 93% | false 7%</x:v>
      </x:c>
      <x:c r="Q53" s="14" t="str">
        <x:v>93%</x:v>
      </x:c>
      <x:c r="R53" s="14" t="str">
        <x:v>ALINHADO</x:v>
      </x:c>
      <x:c r="S53" s="14" t="str"/>
      <x:c r="T53" s="14" t="str"/>
    </x:row>
    <x:row r="54" ht="100" customHeight="1">
      <x:c r="A54" s="14" t="str">
        <x:v>JEV-003-005</x:v>
      </x:c>
      <x:c r="B54" s="14" t="str">
        <x:v>2026-10-03</x:v>
      </x:c>
      <x:c r="C54" s="14" t="str">
        <x:v>jev-latest</x:v>
      </x:c>
      <x:c r="D54" s="14" t="str">
        <x:v>v2</x:v>
      </x:c>
      <x:c r="E54" s="14" t="str">
        <x:v>Speaker A: We have been seeing too much deformation around this bracket.
Speaker B: The current part is 3 mm aluminum.
Speaker A: We haven't tested another thickness yet.</x:v>
      </x:c>
      <x:c r="F54" s="14" t="str">
        <x:v>Speaker C: The aluminum prototype performed better.</x:v>
      </x:c>
      <x:c r="G54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54" s="14" t="str">
        <x:v>should_track</x:v>
      </x:c>
      <x:c r="I54" s="14" t="str">
        <x:v>noul</x:v>
      </x:c>
      <x:c r="J54" s="14" t="str">
        <x:v>Should the current utterance create a new tracked project item or update an existing tracked item?</x:v>
      </x:c>
      <x:c r="K54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  <x:c r="L54" s="14" t="str">
        <x:v>true</x:v>
      </x:c>
      <x:c r="M54" s="14" t="str">
        <x:v>A test result can materially update a tracked project item.</x:v>
      </x:c>
      <x:c r="N54" s="14" t="str">
        <x:v>true</x:v>
      </x:c>
      <x:c r="O54" s="14" t="str">
        <x:v>true</x:v>
      </x:c>
      <x:c r="P54" s="14" t="str">
        <x:v>true 81% | false 19%</x:v>
      </x:c>
      <x:c r="Q54" s="14" t="str">
        <x:v>81%</x:v>
      </x:c>
      <x:c r="R54" s="14" t="str">
        <x:v>ALINHADO</x:v>
      </x:c>
      <x:c r="S54" s="14" t="str"/>
      <x:c r="T54" s="14" t="str"/>
    </x:row>
    <x:row r="55" ht="100" customHeight="1">
      <x:c r="A55" s="14" t="str">
        <x:v>JEV-003-005</x:v>
      </x:c>
      <x:c r="B55" s="14" t="str">
        <x:v>2026-10-03</x:v>
      </x:c>
      <x:c r="C55" s="14" t="str">
        <x:v>jev-latest</x:v>
      </x:c>
      <x:c r="D55" s="14" t="str">
        <x:v>v2</x:v>
      </x:c>
      <x:c r="E55" s="14" t="str">
        <x:v>Speaker A: We have been seeing too much deformation around this bracket.
Speaker B: The current part is 3 mm aluminum.
Speaker A: We haven't tested another thickness yet.</x:v>
      </x:c>
      <x:c r="F55" s="14" t="str">
        <x:v>Speaker C: The aluminum prototype performed better.</x:v>
      </x:c>
      <x:c r="G55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55" s="14" t="str">
        <x:v>event_type</x:v>
      </x:c>
      <x:c r="I55" s="14" t="str">
        <x:v>choice</x:v>
      </x:c>
      <x:c r="J55" s="14" t="str">
        <x:v>Classify the primary project event expressed in the current utterance.</x:v>
      </x:c>
      <x:c r="K55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  <x:c r="L55" s="14" t="str">
        <x:v>test_result</x:v>
      </x:c>
      <x:c r="M55" s="14" t="str">
        <x:v>The sentence reports the outcome of a prototype test.</x:v>
      </x:c>
      <x:c r="N55" s="14" t="str">
        <x:v>test_result</x:v>
      </x:c>
      <x:c r="O55" s="14" t="str">
        <x:v>test_result</x:v>
      </x:c>
      <x:c r="P55" s="14" t="str">
        <x:v>test_result 100% | all others 0%</x:v>
      </x:c>
      <x:c r="Q55" s="14" t="str">
        <x:v>100%</x:v>
      </x:c>
      <x:c r="R55" s="14" t="str">
        <x:v>ALINHADO</x:v>
      </x:c>
      <x:c r="S55" s="14" t="str"/>
      <x:c r="T55" s="14" t="str"/>
    </x:row>
    <x:row r="56" ht="100" customHeight="1">
      <x:c r="A56" s="14" t="str">
        <x:v>JEV-003-005</x:v>
      </x:c>
      <x:c r="B56" s="14" t="str">
        <x:v>2026-10-03</x:v>
      </x:c>
      <x:c r="C56" s="14" t="str">
        <x:v>jev-latest</x:v>
      </x:c>
      <x:c r="D56" s="14" t="str">
        <x:v>v2</x:v>
      </x:c>
      <x:c r="E56" s="14" t="str">
        <x:v>Speaker A: We have been seeing too much deformation around this bracket.
Speaker B: The current part is 3 mm aluminum.
Speaker A: We haven't tested another thickness yet.</x:v>
      </x:c>
      <x:c r="F56" s="14" t="str">
        <x:v>Speaker C: The aluminum prototype performed better.</x:v>
      </x:c>
      <x:c r="G56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56" s="14" t="str">
        <x:v>test_is_proposed</x:v>
      </x:c>
      <x:c r="I56" s="14" t="str">
        <x:v>noul</x:v>
      </x:c>
      <x:c r="J56" s="14" t="str">
        <x:v>Does the current utterance explicitly propose performing a test, experiment, prototype, trial, measurement, validation, or comparison?</x:v>
      </x:c>
      <x:c r="K56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  <x:c r="L56" s="14" t="str">
        <x:v>false</x:v>
      </x:c>
      <x:c r="M56" s="14" t="str">
        <x:v>The test already happened and the sentence reports its result.</x:v>
      </x:c>
      <x:c r="N56" s="14" t="str">
        <x:v>false</x:v>
      </x:c>
      <x:c r="O56" s="14" t="str">
        <x:v>false</x:v>
      </x:c>
      <x:c r="P56" s="14" t="str">
        <x:v>true 5% | false 95%</x:v>
      </x:c>
      <x:c r="Q56" s="14" t="str">
        <x:v>95%</x:v>
      </x:c>
      <x:c r="R56" s="14" t="str">
        <x:v>ALINHADO</x:v>
      </x:c>
      <x:c r="S56" s="14" t="str"/>
      <x:c r="T56" s="14" t="str"/>
    </x:row>
    <x:row r="57" ht="100" customHeight="1">
      <x:c r="A57" s="14" t="str">
        <x:v>JEV-003-005</x:v>
      </x:c>
      <x:c r="B57" s="14" t="str">
        <x:v>2026-10-03</x:v>
      </x:c>
      <x:c r="C57" s="14" t="str">
        <x:v>jev-latest</x:v>
      </x:c>
      <x:c r="D57" s="14" t="str">
        <x:v>v2</x:v>
      </x:c>
      <x:c r="E57" s="14" t="str">
        <x:v>Speaker A: We have been seeing too much deformation around this bracket.
Speaker B: The current part is 3 mm aluminum.
Speaker A: We haven't tested another thickness yet.</x:v>
      </x:c>
      <x:c r="F57" s="14" t="str">
        <x:v>Speaker C: The aluminum prototype performed better.</x:v>
      </x:c>
      <x:c r="G57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57" s="14" t="str">
        <x:v>decision_is_final</x:v>
      </x:c>
      <x:c r="I57" s="14" t="str">
        <x:v>noul</x:v>
      </x:c>
      <x:c r="J57" s="14" t="str">
        <x:v>Does the current utterance commit the project to a choice or change now, without waiting for a future test, condition, approval, or unresolved decision?</x:v>
      </x:c>
      <x:c r="K57" s="14" t="str">
        <x:v>TRUE: The choice or change should be treated as decided and active now. FALSE: It is exploratory, conditional, proposed, waiting on evidence or approval, or no decision is present.</x:v>
      </x:c>
      <x:c r="L57" s="14" t="str">
        <x:v>false</x:v>
      </x:c>
      <x:c r="M57" s="14" t="str">
        <x:v>A better result does not by itself commit the project to a change.</x:v>
      </x:c>
      <x:c r="N57" s="14" t="str">
        <x:v>false</x:v>
      </x:c>
      <x:c r="O57" s="14" t="str">
        <x:v>false</x:v>
      </x:c>
      <x:c r="P57" s="14" t="str">
        <x:v>true 16% | false 84%</x:v>
      </x:c>
      <x:c r="Q57" s="14" t="str">
        <x:v>84%</x:v>
      </x:c>
      <x:c r="R57" s="14" t="str">
        <x:v>ALINHADO</x:v>
      </x:c>
      <x:c r="S57" s="14" t="str"/>
      <x:c r="T57" s="14" t="str"/>
    </x:row>
    <x:row r="58" ht="100" customHeight="1">
      <x:c r="A58" s="14" t="str">
        <x:v>JEV-003-005</x:v>
      </x:c>
      <x:c r="B58" s="14" t="str">
        <x:v>2026-10-03</x:v>
      </x:c>
      <x:c r="C58" s="14" t="str">
        <x:v>jev-latest</x:v>
      </x:c>
      <x:c r="D58" s="14" t="str">
        <x:v>v2</x:v>
      </x:c>
      <x:c r="E58" s="14" t="str">
        <x:v>Speaker A: We have been seeing too much deformation around this bracket.
Speaker B: The current part is 3 mm aluminum.
Speaker A: We haven't tested another thickness yet.</x:v>
      </x:c>
      <x:c r="F58" s="14" t="str">
        <x:v>Speaker C: The aluminum prototype performed better.</x:v>
      </x:c>
      <x:c r="G58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58" s="14" t="str">
        <x:v>pending_decision</x:v>
      </x:c>
      <x:c r="I58" s="14" t="str">
        <x:v>noul</x:v>
      </x:c>
      <x:c r="J58" s="14" t="str">
        <x:v>Does the current utterance establish that a specific project decision is still unresolved and must be made later?</x:v>
      </x:c>
      <x:c r="K58" s="14" t="str">
        <x:v>TRUE: A specific future decision remains open and may depend on a test, evidence, approval, or another condition. FALSE: No future decision is established, or the relevant decision is already final.</x:v>
      </x:c>
      <x:c r="L58" s="14" t="str">
        <x:v>false</x:v>
      </x:c>
      <x:c r="M58" s="14" t="str">
        <x:v>The result may inform a later decision, but this sentence does not explicitly establish one.</x:v>
      </x:c>
      <x:c r="N58" s="14" t="str">
        <x:v>false</x:v>
      </x:c>
      <x:c r="O58" s="14" t="str">
        <x:v>false</x:v>
      </x:c>
      <x:c r="P58" s="14" t="str">
        <x:v>true 42% | false 58%</x:v>
      </x:c>
      <x:c r="Q58" s="14" t="str">
        <x:v>58%</x:v>
      </x:c>
      <x:c r="R58" s="14" t="str">
        <x:v>ALINHADO</x:v>
      </x:c>
      <x:c r="S58" s="14" t="str">
        <x:v>LOW_MARGIN</x:v>
      </x:c>
      <x:c r="T58" s="14" t="str">
        <x:v>Correto, mas perto da fronteira.</x:v>
      </x:c>
    </x:row>
    <x:row r="59" ht="100" customHeight="1">
      <x:c r="A59" s="14" t="str">
        <x:v>JEV-003-005</x:v>
      </x:c>
      <x:c r="B59" s="14" t="str">
        <x:v>2026-10-03</x:v>
      </x:c>
      <x:c r="C59" s="14" t="str">
        <x:v>jev-latest</x:v>
      </x:c>
      <x:c r="D59" s="14" t="str">
        <x:v>v2</x:v>
      </x:c>
      <x:c r="E59" s="14" t="str">
        <x:v>Speaker A: We have been seeing too much deformation around this bracket.
Speaker B: The current part is 3 mm aluminum.
Speaker A: We haven't tested another thickness yet.</x:v>
      </x:c>
      <x:c r="F59" s="14" t="str">
        <x:v>Speaker C: The aluminum prototype performed better.</x:v>
      </x:c>
      <x:c r="G59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59" s="14" t="str">
        <x:v>creates_action_item</x:v>
      </x:c>
      <x:c r="I59" s="14" t="str">
        <x:v>noul</x:v>
      </x:c>
      <x:c r="J59" s="14" t="str">
        <x:v>Does the current utterance establish a concrete task or next action that someone should perform?</x:v>
      </x:c>
      <x:c r="K59" s="14" t="str">
        <x:v>TRUE: A specific activity should be performed, even if no person or deadline is explicitly assigned. FALSE: The utterance only discusses, observes, hypothesizes, or evaluates something without establishing a concrete action.</x:v>
      </x:c>
      <x:c r="L59" s="14" t="str">
        <x:v>false</x:v>
      </x:c>
      <x:c r="M59" s="14" t="str">
        <x:v>No task or next action is stated.</x:v>
      </x:c>
      <x:c r="N59" s="14" t="str">
        <x:v>false</x:v>
      </x:c>
      <x:c r="O59" s="14" t="str">
        <x:v>false</x:v>
      </x:c>
      <x:c r="P59" s="14" t="str">
        <x:v>true 9% | false 91%</x:v>
      </x:c>
      <x:c r="Q59" s="14" t="str">
        <x:v>91%</x:v>
      </x:c>
      <x:c r="R59" s="14" t="str">
        <x:v>ALINHADO</x:v>
      </x:c>
      <x:c r="S59" s="14" t="str"/>
      <x:c r="T59" s="14" t="str"/>
    </x:row>
    <x:row r="60" ht="100" customHeight="1">
      <x:c r="A60" s="14" t="str">
        <x:v>JEV-003-005</x:v>
      </x:c>
      <x:c r="B60" s="14" t="str">
        <x:v>2026-10-03</x:v>
      </x:c>
      <x:c r="C60" s="14" t="str">
        <x:v>jev-latest</x:v>
      </x:c>
      <x:c r="D60" s="14" t="str">
        <x:v>v2</x:v>
      </x:c>
      <x:c r="E60" s="14" t="str">
        <x:v>Speaker A: We have been seeing too much deformation around this bracket.
Speaker B: The current part is 3 mm aluminum.
Speaker A: We haven't tested another thickness yet.</x:v>
      </x:c>
      <x:c r="F60" s="14" t="str">
        <x:v>Speaker C: The aluminum prototype performed better.</x:v>
      </x:c>
      <x:c r="G60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60" s="14" t="str">
        <x:v>next_step_commitment</x:v>
      </x:c>
      <x:c r="I60" s="14" t="str">
        <x:v>score</x:v>
      </x:c>
      <x:c r="J60" s="14" t="str">
        <x:v>How strongly does the current utterance commit the team to performing the stated next step?</x:v>
      </x:c>
      <x:c r="K60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  <x:c r="L60" s="14" t="str">
        <x:v>0</x:v>
      </x:c>
      <x:c r="M60" s="14" t="str">
        <x:v>No next step is established.</x:v>
      </x:c>
      <x:c r="N60" s="14" t="str">
        <x:v>0.08</x:v>
      </x:c>
      <x:c r="O60" s="14" t="str">
        <x:v>0.08</x:v>
      </x:c>
      <x:c r="P60" s="14" t="str">
        <x:v>L0 93% | L1 6% | L2 1% | L3 0%</x:v>
      </x:c>
      <x:c r="Q60" s="14" t="str">
        <x:v>92%</x:v>
      </x:c>
      <x:c r="R60" s="14" t="str">
        <x:v>ALINHADO</x:v>
      </x:c>
      <x:c r="S60" s="14" t="str"/>
      <x:c r="T60" s="14" t="str"/>
    </x:row>
    <x:row r="61" ht="100" customHeight="1">
      <x:c r="A61" s="14" t="str">
        <x:v>JEV-003-005</x:v>
      </x:c>
      <x:c r="B61" s="14" t="str">
        <x:v>2026-10-03</x:v>
      </x:c>
      <x:c r="C61" s="14" t="str">
        <x:v>jev-latest</x:v>
      </x:c>
      <x:c r="D61" s="14" t="str">
        <x:v>v2</x:v>
      </x:c>
      <x:c r="E61" s="14" t="str">
        <x:v>Speaker A: We have been seeing too much deformation around this bracket.
Speaker B: The current part is 3 mm aluminum.
Speaker A: We haven't tested another thickness yet.</x:v>
      </x:c>
      <x:c r="F61" s="14" t="str">
        <x:v>Speaker C: The aluminum prototype performed better.</x:v>
      </x:c>
      <x:c r="G61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61" s="14" t="str">
        <x:v>change_commitment</x:v>
      </x:c>
      <x:c r="I61" s="14" t="str">
        <x:v>score</x:v>
      </x:c>
      <x:c r="J61" s="14" t="str">
        <x:v>How committed is the project to the underlying project change itself, excluding commitment to testing or discussing it?</x:v>
      </x:c>
      <x:c r="K61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  <x:c r="L61" s="14" t="str">
        <x:v>1</x:v>
      </x:c>
      <x:c r="M61" s="14" t="str">
        <x:v>The positive result can support exploring a change, but no change is proposed or decided.</x:v>
      </x:c>
      <x:c r="N61" s="14" t="str">
        <x:v>1.41</x:v>
      </x:c>
      <x:c r="O61" s="14" t="str">
        <x:v>1.41</x:v>
      </x:c>
      <x:c r="P61" s="14" t="str">
        <x:v>L0 1% | L1 66% | L2 25% | L3 8%</x:v>
      </x:c>
      <x:c r="Q61" s="14" t="str">
        <x:v>58%</x:v>
      </x:c>
      <x:c r="R61" s="14" t="str">
        <x:v>ALINHADO</x:v>
      </x:c>
      <x:c r="S61" s="14" t="str">
        <x:v>LOW_CONFIDENCE</x:v>
      </x:c>
      <x:c r="T61" s="14" t="str">
        <x:v>O nível principal ficou correto, mas há dispersão relevante para níveis 2 e 3.</x:v>
      </x:c>
    </x:row>
    <x:row r="62" ht="100" customHeight="1">
      <x:c r="A62" s="14" t="str">
        <x:v>JEV-003-005</x:v>
      </x:c>
      <x:c r="B62" s="14" t="str">
        <x:v>2026-10-03</x:v>
      </x:c>
      <x:c r="C62" s="14" t="str">
        <x:v>jev-latest</x:v>
      </x:c>
      <x:c r="D62" s="14" t="str">
        <x:v>v2</x:v>
      </x:c>
      <x:c r="E62" s="14" t="str">
        <x:v>Speaker A: We have been seeing too much deformation around this bracket.
Speaker B: The current part is 3 mm aluminum.
Speaker A: We haven't tested another thickness yet.</x:v>
      </x:c>
      <x:c r="F62" s="14" t="str">
        <x:v>Speaker C: The aluminum prototype performed better.</x:v>
      </x:c>
      <x:c r="G62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62" s="14" t="str">
        <x:v>project_impact</x:v>
      </x:c>
      <x:c r="I62" s="14" t="str">
        <x:v>score</x:v>
      </x:c>
      <x:c r="J62" s="14" t="str">
        <x:v>Assuming the event described in the current utterance proceeds or is valid, how broad would its impact on the project be?</x:v>
      </x:c>
      <x:c r="K62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  <x:c r="L62" s="14" t="str">
        <x:v>2</x:v>
      </x:c>
      <x:c r="M62" s="14" t="str">
        <x:v>The result can affect a component and a near-term engineering decision.</x:v>
      </x:c>
      <x:c r="N62" s="14" t="str">
        <x:v>2.01</x:v>
      </x:c>
      <x:c r="O62" s="14" t="str">
        <x:v>2.01</x:v>
      </x:c>
      <x:c r="P62" s="14" t="str">
        <x:v>L0 0% | L1 2% | L2 94% | L3 4%</x:v>
      </x:c>
      <x:c r="Q62" s="14" t="str">
        <x:v>94%</x:v>
      </x:c>
      <x:c r="R62" s="14" t="str">
        <x:v>ALINHADO</x:v>
      </x:c>
      <x:c r="S62" s="14" t="str"/>
      <x:c r="T62" s="14" t="str"/>
    </x:row>
    <x:row r="63" ht="100" customHeight="1">
      <x:c r="A63" s="14" t="str">
        <x:v>JEV-003-005</x:v>
      </x:c>
      <x:c r="B63" s="14" t="str">
        <x:v>2026-10-03</x:v>
      </x:c>
      <x:c r="C63" s="14" t="str">
        <x:v>jev-latest</x:v>
      </x:c>
      <x:c r="D63" s="14" t="str">
        <x:v>v2</x:v>
      </x:c>
      <x:c r="E63" s="14" t="str">
        <x:v>Speaker A: We have been seeing too much deformation around this bracket.
Speaker B: The current part is 3 mm aluminum.
Speaker A: We haven't tested another thickness yet.</x:v>
      </x:c>
      <x:c r="F63" s="14" t="str">
        <x:v>Speaker C: The aluminum prototype performed better.</x:v>
      </x:c>
      <x:c r="G63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63" s="14" t="str">
        <x:v>primary_affected_area</x:v>
      </x:c>
      <x:c r="I63" s="14" t="str">
        <x:v>choice</x:v>
      </x:c>
      <x:c r="J63" s="14" t="str">
        <x:v>Which project area is most directly affected by the current utterance?</x:v>
      </x:c>
      <x:c r="K63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  <x:c r="L63" s="14" t="str">
        <x:v>performance</x:v>
      </x:c>
      <x:c r="M63" s="14" t="str">
        <x:v>Performed better is directly a performance result.</x:v>
      </x:c>
      <x:c r="N63" s="14" t="str">
        <x:v>performance</x:v>
      </x:c>
      <x:c r="O63" s="14" t="str">
        <x:v>performance</x:v>
      </x:c>
      <x:c r="P63" s="14" t="str">
        <x:v>performance 89% | material 9% | design 2% | all others 0%</x:v>
      </x:c>
      <x:c r="Q63" s="14" t="str">
        <x:v>87%</x:v>
      </x:c>
      <x:c r="R63" s="14" t="str">
        <x:v>ALINHADO</x:v>
      </x:c>
      <x:c r="S63" s="14" t="str"/>
      <x:c r="T63" s="14" t="str"/>
    </x:row>
    <x:row r="64" ht="100" customHeight="1">
      <x:c r="A64" s="14" t="str">
        <x:v>JEV-003-005</x:v>
      </x:c>
      <x:c r="B64" s="14" t="str">
        <x:v>2026-10-03</x:v>
      </x:c>
      <x:c r="C64" s="14" t="str">
        <x:v>jev-latest</x:v>
      </x:c>
      <x:c r="D64" s="14" t="str">
        <x:v>v2</x:v>
      </x:c>
      <x:c r="E64" s="14" t="str">
        <x:v>Speaker A: We have been seeing too much deformation around this bracket.
Speaker B: The current part is 3 mm aluminum.
Speaker A: We haven't tested another thickness yet.</x:v>
      </x:c>
      <x:c r="F64" s="14" t="str">
        <x:v>Speaker C: The aluminum prototype performed better.</x:v>
      </x:c>
      <x:c r="G64" s="14" t="str">
        <x:v>{"recent_context": ["Speaker A: We have been seeing too much deformation around this bracket.", "Speaker B: The current part is 3 mm aluminum.", "Speaker A: We haven't tested another thickness yet."], "current_utterance": "Speaker C: The aluminum prototype performed better."}</x:v>
      </x:c>
      <x:c r="H64" s="14" t="str">
        <x:v>requires_followup</x:v>
      </x:c>
      <x:c r="I64" s="14" t="str">
        <x:v>noul</x:v>
      </x:c>
      <x:c r="J64" s="14" t="str">
        <x:v>Does the current utterance create or update something whose outcome should be checked again later?</x:v>
      </x:c>
      <x:c r="K64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  <x:c r="L64" s="14" t="str">
        <x:v>true</x:v>
      </x:c>
      <x:c r="M64" s="14" t="str">
        <x:v>The result should update the tracked test and may affect later decisions.</x:v>
      </x:c>
      <x:c r="N64" s="14" t="str">
        <x:v>true</x:v>
      </x:c>
      <x:c r="O64" s="14" t="str">
        <x:v>true</x:v>
      </x:c>
      <x:c r="P64" s="14" t="str">
        <x:v>true 76% | false 24%</x:v>
      </x:c>
      <x:c r="Q64" s="14" t="str">
        <x:v>76%</x:v>
      </x:c>
      <x:c r="R64" s="14" t="str">
        <x:v>ALINHADO</x:v>
      </x:c>
      <x:c r="S64" s="14" t="str"/>
      <x:c r="T64" s="14" t="str"/>
    </x:row>
    <x:row r="65" ht="100" customHeight="1">
      <x:c r="A65" s="14" t="str">
        <x:v>JEV-003-006</x:v>
      </x:c>
      <x:c r="B65" s="14" t="str">
        <x:v>2026-10-03</x:v>
      </x:c>
      <x:c r="C65" s="14" t="str">
        <x:v>jev-latest</x:v>
      </x:c>
      <x:c r="D65" s="14" t="str">
        <x:v>v2</x:v>
      </x:c>
      <x:c r="E65" s="14" t="str">
        <x:v>Speaker A: We have been seeing too much deformation around this bracket.
Speaker B: The current part is 3 mm aluminum.
Speaker A: We haven't tested another thickness yet.</x:v>
      </x:c>
      <x:c r="F65" s="14" t="str">
        <x:v>Speaker C: Let's use aluminum in the next version.</x:v>
      </x:c>
      <x:c r="G65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65" s="14" t="str">
        <x:v>should_track</x:v>
      </x:c>
      <x:c r="I65" s="14" t="str">
        <x:v>noul</x:v>
      </x:c>
      <x:c r="J65" s="14" t="str">
        <x:v>Should the current utterance create a new tracked project item or update an existing tracked item?</x:v>
      </x:c>
      <x:c r="K65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  <x:c r="L65" s="14" t="str">
        <x:v>true</x:v>
      </x:c>
      <x:c r="M65" s="14" t="str">
        <x:v>A concrete proposed material change should be tracked.</x:v>
      </x:c>
      <x:c r="N65" s="14" t="str">
        <x:v>true</x:v>
      </x:c>
      <x:c r="O65" s="14" t="str">
        <x:v>true</x:v>
      </x:c>
      <x:c r="P65" s="14" t="str">
        <x:v>true 72% | false 28%</x:v>
      </x:c>
      <x:c r="Q65" s="14" t="str">
        <x:v>72%</x:v>
      </x:c>
      <x:c r="R65" s="14" t="str">
        <x:v>ALINHADO</x:v>
      </x:c>
      <x:c r="S65" s="14" t="str"/>
      <x:c r="T65" s="14" t="str"/>
    </x:row>
    <x:row r="66" ht="100" customHeight="1">
      <x:c r="A66" s="14" t="str">
        <x:v>JEV-003-006</x:v>
      </x:c>
      <x:c r="B66" s="14" t="str">
        <x:v>2026-10-03</x:v>
      </x:c>
      <x:c r="C66" s="14" t="str">
        <x:v>jev-latest</x:v>
      </x:c>
      <x:c r="D66" s="14" t="str">
        <x:v>v2</x:v>
      </x:c>
      <x:c r="E66" s="14" t="str">
        <x:v>Speaker A: We have been seeing too much deformation around this bracket.
Speaker B: The current part is 3 mm aluminum.
Speaker A: We haven't tested another thickness yet.</x:v>
      </x:c>
      <x:c r="F66" s="14" t="str">
        <x:v>Speaker C: Let's use aluminum in the next version.</x:v>
      </x:c>
      <x:c r="G66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66" s="14" t="str">
        <x:v>event_type</x:v>
      </x:c>
      <x:c r="I66" s="14" t="str">
        <x:v>choice</x:v>
      </x:c>
      <x:c r="J66" s="14" t="str">
        <x:v>Classify the primary project event expressed in the current utterance.</x:v>
      </x:c>
      <x:c r="K66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  <x:c r="L66" s="14" t="str">
        <x:v>change_proposal</x:v>
      </x:c>
      <x:c r="M66" s="14" t="str">
        <x:v>Let's use proposes a change, but does not by itself prove final approval.</x:v>
      </x:c>
      <x:c r="N66" s="14" t="str">
        <x:v>change_proposal</x:v>
      </x:c>
      <x:c r="O66" s="14" t="str">
        <x:v>change_proposal</x:v>
      </x:c>
      <x:c r="P66" s="14" t="str">
        <x:v>change_proposal 61% | decision 38% | action_item 1% | all others 0%</x:v>
      </x:c>
      <x:c r="Q66" s="14" t="str">
        <x:v>56%</x:v>
      </x:c>
      <x:c r="R66" s="14" t="str">
        <x:v>ALINHADO</x:v>
      </x:c>
      <x:c r="S66" s="14" t="str">
        <x:v>LOW_CONFIDENCE</x:v>
      </x:c>
      <x:c r="T66" s="14" t="str">
        <x:v>O modelo ficou bastante dividido entre proposta e decisão.</x:v>
      </x:c>
    </x:row>
    <x:row r="67" ht="100" customHeight="1">
      <x:c r="A67" s="14" t="str">
        <x:v>JEV-003-006</x:v>
      </x:c>
      <x:c r="B67" s="14" t="str">
        <x:v>2026-10-03</x:v>
      </x:c>
      <x:c r="C67" s="14" t="str">
        <x:v>jev-latest</x:v>
      </x:c>
      <x:c r="D67" s="14" t="str">
        <x:v>v2</x:v>
      </x:c>
      <x:c r="E67" s="14" t="str">
        <x:v>Speaker A: We have been seeing too much deformation around this bracket.
Speaker B: The current part is 3 mm aluminum.
Speaker A: We haven't tested another thickness yet.</x:v>
      </x:c>
      <x:c r="F67" s="14" t="str">
        <x:v>Speaker C: Let's use aluminum in the next version.</x:v>
      </x:c>
      <x:c r="G67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67" s="14" t="str">
        <x:v>test_is_proposed</x:v>
      </x:c>
      <x:c r="I67" s="14" t="str">
        <x:v>noul</x:v>
      </x:c>
      <x:c r="J67" s="14" t="str">
        <x:v>Does the current utterance explicitly propose performing a test, experiment, prototype, trial, measurement, validation, or comparison?</x:v>
      </x:c>
      <x:c r="K67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  <x:c r="L67" s="14" t="str">
        <x:v>false</x:v>
      </x:c>
      <x:c r="M67" s="14" t="str">
        <x:v>No test or validation activity is proposed.</x:v>
      </x:c>
      <x:c r="N67" s="14" t="str">
        <x:v>false</x:v>
      </x:c>
      <x:c r="O67" s="14" t="str">
        <x:v>false</x:v>
      </x:c>
      <x:c r="P67" s="14" t="str">
        <x:v>true 7% | false 93%</x:v>
      </x:c>
      <x:c r="Q67" s="14" t="str">
        <x:v>93%</x:v>
      </x:c>
      <x:c r="R67" s="14" t="str">
        <x:v>ALINHADO</x:v>
      </x:c>
      <x:c r="S67" s="14" t="str"/>
      <x:c r="T67" s="14" t="str"/>
    </x:row>
    <x:row r="68" ht="100" customHeight="1">
      <x:c r="A68" s="14" t="str">
        <x:v>JEV-003-006</x:v>
      </x:c>
      <x:c r="B68" s="14" t="str">
        <x:v>2026-10-03</x:v>
      </x:c>
      <x:c r="C68" s="14" t="str">
        <x:v>jev-latest</x:v>
      </x:c>
      <x:c r="D68" s="14" t="str">
        <x:v>v2</x:v>
      </x:c>
      <x:c r="E68" s="14" t="str">
        <x:v>Speaker A: We have been seeing too much deformation around this bracket.
Speaker B: The current part is 3 mm aluminum.
Speaker A: We haven't tested another thickness yet.</x:v>
      </x:c>
      <x:c r="F68" s="14" t="str">
        <x:v>Speaker C: Let's use aluminum in the next version.</x:v>
      </x:c>
      <x:c r="G68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68" s="14" t="str">
        <x:v>decision_is_final</x:v>
      </x:c>
      <x:c r="I68" s="14" t="str">
        <x:v>noul</x:v>
      </x:c>
      <x:c r="J68" s="14" t="str">
        <x:v>Does the current utterance commit the project to a choice or change now, without waiting for a future test, condition, approval, or unresolved decision?</x:v>
      </x:c>
      <x:c r="K68" s="14" t="str">
        <x:v>TRUE: The choice or change should be treated as decided and active now. FALSE: It is exploratory, conditional, proposed, waiting on evidence or approval, or no decision is present.</x:v>
      </x:c>
      <x:c r="L68" s="14" t="str">
        <x:v>false</x:v>
      </x:c>
      <x:c r="M68" s="14" t="str">
        <x:v>Let's use is a proposal unless the conversation explicitly confirms agreement or approval.</x:v>
      </x:c>
      <x:c r="N68" s="14" t="str">
        <x:v>false</x:v>
      </x:c>
      <x:c r="O68" s="14" t="str">
        <x:v>false</x:v>
      </x:c>
      <x:c r="P68" s="14" t="str">
        <x:v>true 33% | false 67%</x:v>
      </x:c>
      <x:c r="Q68" s="14" t="str">
        <x:v>67%</x:v>
      </x:c>
      <x:c r="R68" s="14" t="str">
        <x:v>ALINHADO</x:v>
      </x:c>
      <x:c r="S68" s="14" t="str"/>
      <x:c r="T68" s="14" t="str"/>
    </x:row>
    <x:row r="69" ht="100" customHeight="1">
      <x:c r="A69" s="14" t="str">
        <x:v>JEV-003-006</x:v>
      </x:c>
      <x:c r="B69" s="14" t="str">
        <x:v>2026-10-03</x:v>
      </x:c>
      <x:c r="C69" s="14" t="str">
        <x:v>jev-latest</x:v>
      </x:c>
      <x:c r="D69" s="14" t="str">
        <x:v>v2</x:v>
      </x:c>
      <x:c r="E69" s="14" t="str">
        <x:v>Speaker A: We have been seeing too much deformation around this bracket.
Speaker B: The current part is 3 mm aluminum.
Speaker A: We haven't tested another thickness yet.</x:v>
      </x:c>
      <x:c r="F69" s="14" t="str">
        <x:v>Speaker C: Let's use aluminum in the next version.</x:v>
      </x:c>
      <x:c r="G69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69" s="14" t="str">
        <x:v>pending_decision</x:v>
      </x:c>
      <x:c r="I69" s="14" t="str">
        <x:v>noul</x:v>
      </x:c>
      <x:c r="J69" s="14" t="str">
        <x:v>Does the current utterance establish that a specific project decision is still unresolved and must be made later?</x:v>
      </x:c>
      <x:c r="K69" s="14" t="str">
        <x:v>TRUE: A specific future decision remains open and may depend on a test, evidence, approval, or another condition. FALSE: No future decision is established, or the relevant decision is already final.</x:v>
      </x:c>
      <x:c r="L69" s="14" t="str">
        <x:v>false</x:v>
      </x:c>
      <x:c r="M69" s="14" t="str">
        <x:v>The utterance proposes a choice now but does not explicitly establish a separate future decision process.</x:v>
      </x:c>
      <x:c r="N69" s="14" t="str">
        <x:v>false</x:v>
      </x:c>
      <x:c r="O69" s="14" t="str">
        <x:v>false</x:v>
      </x:c>
      <x:c r="P69" s="14" t="str">
        <x:v>true 29% | false 71%</x:v>
      </x:c>
      <x:c r="Q69" s="14" t="str">
        <x:v>71%</x:v>
      </x:c>
      <x:c r="R69" s="14" t="str">
        <x:v>ALINHADO</x:v>
      </x:c>
      <x:c r="S69" s="14" t="str"/>
      <x:c r="T69" s="14" t="str"/>
    </x:row>
    <x:row r="70" ht="100" customHeight="1">
      <x:c r="A70" s="14" t="str">
        <x:v>JEV-003-006</x:v>
      </x:c>
      <x:c r="B70" s="14" t="str">
        <x:v>2026-10-03</x:v>
      </x:c>
      <x:c r="C70" s="14" t="str">
        <x:v>jev-latest</x:v>
      </x:c>
      <x:c r="D70" s="14" t="str">
        <x:v>v2</x:v>
      </x:c>
      <x:c r="E70" s="14" t="str">
        <x:v>Speaker A: We have been seeing too much deformation around this bracket.
Speaker B: The current part is 3 mm aluminum.
Speaker A: We haven't tested another thickness yet.</x:v>
      </x:c>
      <x:c r="F70" s="14" t="str">
        <x:v>Speaker C: Let's use aluminum in the next version.</x:v>
      </x:c>
      <x:c r="G70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70" s="14" t="str">
        <x:v>creates_action_item</x:v>
      </x:c>
      <x:c r="I70" s="14" t="str">
        <x:v>noul</x:v>
      </x:c>
      <x:c r="J70" s="14" t="str">
        <x:v>Does the current utterance establish a concrete task or next action that someone should perform?</x:v>
      </x:c>
      <x:c r="K70" s="14" t="str">
        <x:v>TRUE: A specific activity should be performed, even if no person or deadline is explicitly assigned. FALSE: The utterance only discusses, observes, hypothesizes, or evaluates something without establishing a concrete action.</x:v>
      </x:c>
      <x:c r="L70" s="14" t="str">
        <x:v>true</x:v>
      </x:c>
      <x:c r="M70" s="14" t="str">
        <x:v>Using aluminum in the next version is a concrete next action if the proposal is accepted.</x:v>
      </x:c>
      <x:c r="N70" s="14" t="str">
        <x:v>true</x:v>
      </x:c>
      <x:c r="O70" s="14" t="str">
        <x:v>true</x:v>
      </x:c>
      <x:c r="P70" s="14" t="str">
        <x:v>true 72% | false 28%</x:v>
      </x:c>
      <x:c r="Q70" s="14" t="str">
        <x:v>72%</x:v>
      </x:c>
      <x:c r="R70" s="14" t="str">
        <x:v>ALINHADO</x:v>
      </x:c>
      <x:c r="S70" s="14" t="str"/>
      <x:c r="T70" s="14" t="str"/>
    </x:row>
    <x:row r="71" ht="100" customHeight="1">
      <x:c r="A71" s="14" t="str">
        <x:v>JEV-003-006</x:v>
      </x:c>
      <x:c r="B71" s="14" t="str">
        <x:v>2026-10-03</x:v>
      </x:c>
      <x:c r="C71" s="14" t="str">
        <x:v>jev-latest</x:v>
      </x:c>
      <x:c r="D71" s="14" t="str">
        <x:v>v2</x:v>
      </x:c>
      <x:c r="E71" s="14" t="str">
        <x:v>Speaker A: We have been seeing too much deformation around this bracket.
Speaker B: The current part is 3 mm aluminum.
Speaker A: We haven't tested another thickness yet.</x:v>
      </x:c>
      <x:c r="F71" s="14" t="str">
        <x:v>Speaker C: Let's use aluminum in the next version.</x:v>
      </x:c>
      <x:c r="G71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71" s="14" t="str">
        <x:v>next_step_commitment</x:v>
      </x:c>
      <x:c r="I71" s="14" t="str">
        <x:v>score</x:v>
      </x:c>
      <x:c r="J71" s="14" t="str">
        <x:v>How strongly does the current utterance commit the team to performing the stated next step?</x:v>
      </x:c>
      <x:c r="K71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  <x:c r="L71" s="14" t="str">
        <x:v>2</x:v>
      </x:c>
      <x:c r="M71" s="14" t="str">
        <x:v>A concrete next step is proposed, but explicit team agreement or assignment is not shown.</x:v>
      </x:c>
      <x:c r="N71" s="14" t="str">
        <x:v>2.16</x:v>
      </x:c>
      <x:c r="O71" s="14" t="str">
        <x:v>2.16</x:v>
      </x:c>
      <x:c r="P71" s="14" t="str">
        <x:v>L0 1% | L1 2% | L2 78% | L3 19%</x:v>
      </x:c>
      <x:c r="Q71" s="14" t="str">
        <x:v>77%</x:v>
      </x:c>
      <x:c r="R71" s="14" t="str">
        <x:v>ALINHADO</x:v>
      </x:c>
      <x:c r="S71" s="14" t="str"/>
      <x:c r="T71" s="14" t="str"/>
    </x:row>
    <x:row r="72" ht="100" customHeight="1">
      <x:c r="A72" s="14" t="str">
        <x:v>JEV-003-006</x:v>
      </x:c>
      <x:c r="B72" s="14" t="str">
        <x:v>2026-10-03</x:v>
      </x:c>
      <x:c r="C72" s="14" t="str">
        <x:v>jev-latest</x:v>
      </x:c>
      <x:c r="D72" s="14" t="str">
        <x:v>v2</x:v>
      </x:c>
      <x:c r="E72" s="14" t="str">
        <x:v>Speaker A: We have been seeing too much deformation around this bracket.
Speaker B: The current part is 3 mm aluminum.
Speaker A: We haven't tested another thickness yet.</x:v>
      </x:c>
      <x:c r="F72" s="14" t="str">
        <x:v>Speaker C: Let's use aluminum in the next version.</x:v>
      </x:c>
      <x:c r="G72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72" s="14" t="str">
        <x:v>change_commitment</x:v>
      </x:c>
      <x:c r="I72" s="14" t="str">
        <x:v>score</x:v>
      </x:c>
      <x:c r="J72" s="14" t="str">
        <x:v>How committed is the project to the underlying project change itself, excluding commitment to testing or discussing it?</x:v>
      </x:c>
      <x:c r="K72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  <x:c r="L72" s="14" t="str">
        <x:v>2</x:v>
      </x:c>
      <x:c r="M72" s="14" t="str">
        <x:v>The change is concrete but not explicitly final.</x:v>
      </x:c>
      <x:c r="N72" s="14" t="str">
        <x:v>2.02</x:v>
      </x:c>
      <x:c r="O72" s="14" t="str">
        <x:v>2.02</x:v>
      </x:c>
      <x:c r="P72" s="14" t="str">
        <x:v>L0 8% | L1 5% | L2 64% | L3 23%</x:v>
      </x:c>
      <x:c r="Q72" s="14" t="str">
        <x:v>57%</x:v>
      </x:c>
      <x:c r="R72" s="14" t="str">
        <x:v>ALINHADO</x:v>
      </x:c>
      <x:c r="S72" s="14" t="str">
        <x:v>LOW_CONFIDENCE</x:v>
      </x:c>
      <x:c r="T72" s="14" t="str">
        <x:v>Correto, mas existe sobreposição relevante com nível 3.</x:v>
      </x:c>
    </x:row>
    <x:row r="73" ht="100" customHeight="1">
      <x:c r="A73" s="14" t="str">
        <x:v>JEV-003-006</x:v>
      </x:c>
      <x:c r="B73" s="14" t="str">
        <x:v>2026-10-03</x:v>
      </x:c>
      <x:c r="C73" s="14" t="str">
        <x:v>jev-latest</x:v>
      </x:c>
      <x:c r="D73" s="14" t="str">
        <x:v>v2</x:v>
      </x:c>
      <x:c r="E73" s="14" t="str">
        <x:v>Speaker A: We have been seeing too much deformation around this bracket.
Speaker B: The current part is 3 mm aluminum.
Speaker A: We haven't tested another thickness yet.</x:v>
      </x:c>
      <x:c r="F73" s="14" t="str">
        <x:v>Speaker C: Let's use aluminum in the next version.</x:v>
      </x:c>
      <x:c r="G73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73" s="14" t="str">
        <x:v>project_impact</x:v>
      </x:c>
      <x:c r="I73" s="14" t="str">
        <x:v>score</x:v>
      </x:c>
      <x:c r="J73" s="14" t="str">
        <x:v>Assuming the event described in the current utterance proceeds or is valid, how broad would its impact on the project be?</x:v>
      </x:c>
      <x:c r="K73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  <x:c r="L73" s="14" t="str">
        <x:v>2</x:v>
      </x:c>
      <x:c r="M73" s="14" t="str">
        <x:v>The proposed material change affects a component or near-term design decision.</x:v>
      </x:c>
      <x:c r="N73" s="14" t="str">
        <x:v>1.85</x:v>
      </x:c>
      <x:c r="O73" s="14" t="str">
        <x:v>1.85</x:v>
      </x:c>
      <x:c r="P73" s="14" t="str">
        <x:v>L0 7% | L1 8% | L2 77% | L3 8%</x:v>
      </x:c>
      <x:c r="Q73" s="14" t="str">
        <x:v>70%</x:v>
      </x:c>
      <x:c r="R73" s="14" t="str">
        <x:v>ALINHADO</x:v>
      </x:c>
      <x:c r="S73" s="14" t="str"/>
      <x:c r="T73" s="14" t="str"/>
    </x:row>
    <x:row r="74" ht="100" customHeight="1">
      <x:c r="A74" s="14" t="str">
        <x:v>JEV-003-006</x:v>
      </x:c>
      <x:c r="B74" s="14" t="str">
        <x:v>2026-10-03</x:v>
      </x:c>
      <x:c r="C74" s="14" t="str">
        <x:v>jev-latest</x:v>
      </x:c>
      <x:c r="D74" s="14" t="str">
        <x:v>v2</x:v>
      </x:c>
      <x:c r="E74" s="14" t="str">
        <x:v>Speaker A: We have been seeing too much deformation around this bracket.
Speaker B: The current part is 3 mm aluminum.
Speaker A: We haven't tested another thickness yet.</x:v>
      </x:c>
      <x:c r="F74" s="14" t="str">
        <x:v>Speaker C: Let's use aluminum in the next version.</x:v>
      </x:c>
      <x:c r="G74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74" s="14" t="str">
        <x:v>primary_affected_area</x:v>
      </x:c>
      <x:c r="I74" s="14" t="str">
        <x:v>choice</x:v>
      </x:c>
      <x:c r="J74" s="14" t="str">
        <x:v>Which project area is most directly affected by the current utterance?</x:v>
      </x:c>
      <x:c r="K74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  <x:c r="L74" s="14" t="str">
        <x:v>material</x:v>
      </x:c>
      <x:c r="M74" s="14" t="str">
        <x:v>The proposed change is directly about material selection.</x:v>
      </x:c>
      <x:c r="N74" s="14" t="str">
        <x:v>material</x:v>
      </x:c>
      <x:c r="O74" s="14" t="str">
        <x:v>material</x:v>
      </x:c>
      <x:c r="P74" s="14" t="str">
        <x:v>material 99% | design 1% | all others 0%</x:v>
      </x:c>
      <x:c r="Q74" s="14" t="str">
        <x:v>98%</x:v>
      </x:c>
      <x:c r="R74" s="14" t="str">
        <x:v>ALINHADO</x:v>
      </x:c>
      <x:c r="S74" s="14" t="str"/>
      <x:c r="T74" s="14" t="str"/>
    </x:row>
    <x:row r="75" ht="100" customHeight="1">
      <x:c r="A75" s="14" t="str">
        <x:v>JEV-003-006</x:v>
      </x:c>
      <x:c r="B75" s="14" t="str">
        <x:v>2026-10-03</x:v>
      </x:c>
      <x:c r="C75" s="14" t="str">
        <x:v>jev-latest</x:v>
      </x:c>
      <x:c r="D75" s="14" t="str">
        <x:v>v2</x:v>
      </x:c>
      <x:c r="E75" s="14" t="str">
        <x:v>Speaker A: We have been seeing too much deformation around this bracket.
Speaker B: The current part is 3 mm aluminum.
Speaker A: We haven't tested another thickness yet.</x:v>
      </x:c>
      <x:c r="F75" s="14" t="str">
        <x:v>Speaker C: Let's use aluminum in the next version.</x:v>
      </x:c>
      <x:c r="G75" s="14" t="str">
        <x:v>{"recent_context": ["Speaker A: We have been seeing too much deformation around this bracket.", "Speaker B: The current part is 3 mm aluminum.", "Speaker A: We haven't tested another thickness yet."], "current_utterance": "Speaker C: Let's use aluminum in the next version."}</x:v>
      </x:c>
      <x:c r="H75" s="14" t="str">
        <x:v>requires_followup</x:v>
      </x:c>
      <x:c r="I75" s="14" t="str">
        <x:v>noul</x:v>
      </x:c>
      <x:c r="J75" s="14" t="str">
        <x:v>Does the current utterance create or update something whose outcome should be checked again later?</x:v>
      </x:c>
      <x:c r="K75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  <x:c r="L75" s="14" t="str">
        <x:v>true</x:v>
      </x:c>
      <x:c r="M75" s="14" t="str">
        <x:v>The proposal should remain tracked until it is accepted, rejected, or implemented.</x:v>
      </x:c>
      <x:c r="N75" s="14" t="str">
        <x:v>true</x:v>
      </x:c>
      <x:c r="O75" s="14" t="str">
        <x:v>true</x:v>
      </x:c>
      <x:c r="P75" s="14" t="str">
        <x:v>true 88% | false 12%</x:v>
      </x:c>
      <x:c r="Q75" s="14" t="str">
        <x:v>88%</x:v>
      </x:c>
      <x:c r="R75" s="14" t="str">
        <x:v>ALINHADO</x:v>
      </x:c>
      <x:c r="S75" s="14" t="str"/>
      <x:c r="T75" s="14" t="str"/>
    </x:row>
    <x:row r="76" ht="100" customHeight="1">
      <x:c r="A76" s="14" t="str">
        <x:v>JEV-003-007</x:v>
      </x:c>
      <x:c r="B76" s="14" t="str">
        <x:v>2026-10-03</x:v>
      </x:c>
      <x:c r="C76" s="14" t="str">
        <x:v>jev-latest</x:v>
      </x:c>
      <x:c r="D76" s="14" t="str">
        <x:v>v2</x:v>
      </x:c>
      <x:c r="E76" s="14" t="str">
        <x:v>Speaker A: We have been seeing too much deformation around this bracket.
Speaker B: The current part is 3 mm aluminum.
Speaker A: We haven't tested another thickness yet.</x:v>
      </x:c>
      <x:c r="F76" s="14" t="str">
        <x:v>Speaker C: We are switching the final design to aluminum.</x:v>
      </x:c>
      <x:c r="G76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76" s="14" t="str">
        <x:v>should_track</x:v>
      </x:c>
      <x:c r="I76" s="14" t="str">
        <x:v>noul</x:v>
      </x:c>
      <x:c r="J76" s="14" t="str">
        <x:v>Should the current utterance create a new tracked project item or update an existing tracked item?</x:v>
      </x:c>
      <x:c r="K76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  <x:c r="L76" s="14" t="str">
        <x:v>true</x:v>
      </x:c>
      <x:c r="M76" s="14" t="str">
        <x:v>A final design decision must update the tracked project state.</x:v>
      </x:c>
      <x:c r="N76" s="14" t="str">
        <x:v>true</x:v>
      </x:c>
      <x:c r="O76" s="14" t="str">
        <x:v>true</x:v>
      </x:c>
      <x:c r="P76" s="14" t="str">
        <x:v>true 84% | false 16%</x:v>
      </x:c>
      <x:c r="Q76" s="14" t="str">
        <x:v>84%</x:v>
      </x:c>
      <x:c r="R76" s="14" t="str">
        <x:v>ALINHADO</x:v>
      </x:c>
      <x:c r="S76" s="14" t="str"/>
      <x:c r="T76" s="14" t="str"/>
    </x:row>
    <x:row r="77" ht="100" customHeight="1">
      <x:c r="A77" s="14" t="str">
        <x:v>JEV-003-007</x:v>
      </x:c>
      <x:c r="B77" s="14" t="str">
        <x:v>2026-10-03</x:v>
      </x:c>
      <x:c r="C77" s="14" t="str">
        <x:v>jev-latest</x:v>
      </x:c>
      <x:c r="D77" s="14" t="str">
        <x:v>v2</x:v>
      </x:c>
      <x:c r="E77" s="14" t="str">
        <x:v>Speaker A: We have been seeing too much deformation around this bracket.
Speaker B: The current part is 3 mm aluminum.
Speaker A: We haven't tested another thickness yet.</x:v>
      </x:c>
      <x:c r="F77" s="14" t="str">
        <x:v>Speaker C: We are switching the final design to aluminum.</x:v>
      </x:c>
      <x:c r="G77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77" s="14" t="str">
        <x:v>event_type</x:v>
      </x:c>
      <x:c r="I77" s="14" t="str">
        <x:v>choice</x:v>
      </x:c>
      <x:c r="J77" s="14" t="str">
        <x:v>Classify the primary project event expressed in the current utterance.</x:v>
      </x:c>
      <x:c r="K77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  <x:c r="L77" s="14" t="str">
        <x:v>decision</x:v>
      </x:c>
      <x:c r="M77" s="14" t="str">
        <x:v>The sentence explicitly states that the final design is being changed.</x:v>
      </x:c>
      <x:c r="N77" s="14" t="str">
        <x:v>decision</x:v>
      </x:c>
      <x:c r="O77" s="14" t="str">
        <x:v>decision</x:v>
      </x:c>
      <x:c r="P77" s="14" t="str">
        <x:v>decision 99% | change_proposal 1% | all others 0%</x:v>
      </x:c>
      <x:c r="Q77" s="14" t="str">
        <x:v>99%</x:v>
      </x:c>
      <x:c r="R77" s="14" t="str">
        <x:v>ALINHADO</x:v>
      </x:c>
      <x:c r="S77" s="14" t="str"/>
      <x:c r="T77" s="14" t="str"/>
    </x:row>
    <x:row r="78" ht="100" customHeight="1">
      <x:c r="A78" s="14" t="str">
        <x:v>JEV-003-007</x:v>
      </x:c>
      <x:c r="B78" s="14" t="str">
        <x:v>2026-10-03</x:v>
      </x:c>
      <x:c r="C78" s="14" t="str">
        <x:v>jev-latest</x:v>
      </x:c>
      <x:c r="D78" s="14" t="str">
        <x:v>v2</x:v>
      </x:c>
      <x:c r="E78" s="14" t="str">
        <x:v>Speaker A: We have been seeing too much deformation around this bracket.
Speaker B: The current part is 3 mm aluminum.
Speaker A: We haven't tested another thickness yet.</x:v>
      </x:c>
      <x:c r="F78" s="14" t="str">
        <x:v>Speaker C: We are switching the final design to aluminum.</x:v>
      </x:c>
      <x:c r="G78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78" s="14" t="str">
        <x:v>test_is_proposed</x:v>
      </x:c>
      <x:c r="I78" s="14" t="str">
        <x:v>noul</x:v>
      </x:c>
      <x:c r="J78" s="14" t="str">
        <x:v>Does the current utterance explicitly propose performing a test, experiment, prototype, trial, measurement, validation, or comparison?</x:v>
      </x:c>
      <x:c r="K78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  <x:c r="L78" s="14" t="str">
        <x:v>false</x:v>
      </x:c>
      <x:c r="M78" s="14" t="str">
        <x:v>No test is proposed.</x:v>
      </x:c>
      <x:c r="N78" s="14" t="str">
        <x:v>false</x:v>
      </x:c>
      <x:c r="O78" s="14" t="str">
        <x:v>false</x:v>
      </x:c>
      <x:c r="P78" s="14" t="str">
        <x:v>true 3% | false 97%</x:v>
      </x:c>
      <x:c r="Q78" s="14" t="str">
        <x:v>97%</x:v>
      </x:c>
      <x:c r="R78" s="14" t="str">
        <x:v>ALINHADO</x:v>
      </x:c>
      <x:c r="S78" s="14" t="str"/>
      <x:c r="T78" s="14" t="str"/>
    </x:row>
    <x:row r="79" ht="100" customHeight="1">
      <x:c r="A79" s="14" t="str">
        <x:v>JEV-003-007</x:v>
      </x:c>
      <x:c r="B79" s="14" t="str">
        <x:v>2026-10-03</x:v>
      </x:c>
      <x:c r="C79" s="14" t="str">
        <x:v>jev-latest</x:v>
      </x:c>
      <x:c r="D79" s="14" t="str">
        <x:v>v2</x:v>
      </x:c>
      <x:c r="E79" s="14" t="str">
        <x:v>Speaker A: We have been seeing too much deformation around this bracket.
Speaker B: The current part is 3 mm aluminum.
Speaker A: We haven't tested another thickness yet.</x:v>
      </x:c>
      <x:c r="F79" s="14" t="str">
        <x:v>Speaker C: We are switching the final design to aluminum.</x:v>
      </x:c>
      <x:c r="G79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79" s="14" t="str">
        <x:v>decision_is_final</x:v>
      </x:c>
      <x:c r="I79" s="14" t="str">
        <x:v>noul</x:v>
      </x:c>
      <x:c r="J79" s="14" t="str">
        <x:v>Does the current utterance commit the project to a choice or change now, without waiting for a future test, condition, approval, or unresolved decision?</x:v>
      </x:c>
      <x:c r="K79" s="14" t="str">
        <x:v>TRUE: The choice or change should be treated as decided and active now. FALSE: It is exploratory, conditional, proposed, waiting on evidence or approval, or no decision is present.</x:v>
      </x:c>
      <x:c r="L79" s="14" t="str">
        <x:v>true</x:v>
      </x:c>
      <x:c r="M79" s="14" t="str">
        <x:v>The wording states the final design is switching now.</x:v>
      </x:c>
      <x:c r="N79" s="14" t="str">
        <x:v>true</x:v>
      </x:c>
      <x:c r="O79" s="14" t="str">
        <x:v>true</x:v>
      </x:c>
      <x:c r="P79" s="14" t="str">
        <x:v>true 87% | false 13%</x:v>
      </x:c>
      <x:c r="Q79" s="14" t="str">
        <x:v>87%</x:v>
      </x:c>
      <x:c r="R79" s="14" t="str">
        <x:v>ALINHADO</x:v>
      </x:c>
      <x:c r="S79" s="14" t="str"/>
      <x:c r="T79" s="14" t="str"/>
    </x:row>
    <x:row r="80" ht="100" customHeight="1">
      <x:c r="A80" s="14" t="str">
        <x:v>JEV-003-007</x:v>
      </x:c>
      <x:c r="B80" s="14" t="str">
        <x:v>2026-10-03</x:v>
      </x:c>
      <x:c r="C80" s="14" t="str">
        <x:v>jev-latest</x:v>
      </x:c>
      <x:c r="D80" s="14" t="str">
        <x:v>v2</x:v>
      </x:c>
      <x:c r="E80" s="14" t="str">
        <x:v>Speaker A: We have been seeing too much deformation around this bracket.
Speaker B: The current part is 3 mm aluminum.
Speaker A: We haven't tested another thickness yet.</x:v>
      </x:c>
      <x:c r="F80" s="14" t="str">
        <x:v>Speaker C: We are switching the final design to aluminum.</x:v>
      </x:c>
      <x:c r="G80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80" s="14" t="str">
        <x:v>pending_decision</x:v>
      </x:c>
      <x:c r="I80" s="14" t="str">
        <x:v>noul</x:v>
      </x:c>
      <x:c r="J80" s="14" t="str">
        <x:v>Does the current utterance establish that a specific project decision is still unresolved and must be made later?</x:v>
      </x:c>
      <x:c r="K80" s="14" t="str">
        <x:v>TRUE: A specific future decision remains open and may depend on a test, evidence, approval, or another condition. FALSE: No future decision is established, or the relevant decision is already final.</x:v>
      </x:c>
      <x:c r="L80" s="14" t="str">
        <x:v>false</x:v>
      </x:c>
      <x:c r="M80" s="14" t="str">
        <x:v>The relevant decision is already final.</x:v>
      </x:c>
      <x:c r="N80" s="14" t="str">
        <x:v>false</x:v>
      </x:c>
      <x:c r="O80" s="14" t="str">
        <x:v>false</x:v>
      </x:c>
      <x:c r="P80" s="14" t="str">
        <x:v>true 9% | false 91%</x:v>
      </x:c>
      <x:c r="Q80" s="14" t="str">
        <x:v>91%</x:v>
      </x:c>
      <x:c r="R80" s="14" t="str">
        <x:v>ALINHADO</x:v>
      </x:c>
      <x:c r="S80" s="14" t="str"/>
      <x:c r="T80" s="14" t="str"/>
    </x:row>
    <x:row r="81" ht="100" customHeight="1">
      <x:c r="A81" s="14" t="str">
        <x:v>JEV-003-007</x:v>
      </x:c>
      <x:c r="B81" s="14" t="str">
        <x:v>2026-10-03</x:v>
      </x:c>
      <x:c r="C81" s="14" t="str">
        <x:v>jev-latest</x:v>
      </x:c>
      <x:c r="D81" s="14" t="str">
        <x:v>v2</x:v>
      </x:c>
      <x:c r="E81" s="14" t="str">
        <x:v>Speaker A: We have been seeing too much deformation around this bracket.
Speaker B: The current part is 3 mm aluminum.
Speaker A: We haven't tested another thickness yet.</x:v>
      </x:c>
      <x:c r="F81" s="14" t="str">
        <x:v>Speaker C: We are switching the final design to aluminum.</x:v>
      </x:c>
      <x:c r="G81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81" s="14" t="str">
        <x:v>creates_action_item</x:v>
      </x:c>
      <x:c r="I81" s="14" t="str">
        <x:v>noul</x:v>
      </x:c>
      <x:c r="J81" s="14" t="str">
        <x:v>Does the current utterance establish a concrete task or next action that someone should perform?</x:v>
      </x:c>
      <x:c r="K81" s="14" t="str">
        <x:v>TRUE: A specific activity should be performed, even if no person or deadline is explicitly assigned. FALSE: The utterance only discusses, observes, hypothesizes, or evaluates something without establishing a concrete action.</x:v>
      </x:c>
      <x:c r="L81" s="14" t="str">
        <x:v>true</x:v>
      </x:c>
      <x:c r="M81" s="14" t="str">
        <x:v>Switching the final design establishes a concrete implementation action, even without an assignee.</x:v>
      </x:c>
      <x:c r="N81" s="14" t="str">
        <x:v>true</x:v>
      </x:c>
      <x:c r="O81" s="14" t="str">
        <x:v>true</x:v>
      </x:c>
      <x:c r="P81" s="14" t="str">
        <x:v>true 52% | false 48%</x:v>
      </x:c>
      <x:c r="Q81" s="14" t="str">
        <x:v>52%</x:v>
      </x:c>
      <x:c r="R81" s="14" t="str">
        <x:v>ALINHADO</x:v>
      </x:c>
      <x:c r="S81" s="14" t="str">
        <x:v>VERY_LOW_MARGIN</x:v>
      </x:c>
      <x:c r="T81" s="14" t="str">
        <x:v>A resposta principal está correta, mas quase empatada.</x:v>
      </x:c>
    </x:row>
    <x:row r="82" ht="100" customHeight="1">
      <x:c r="A82" s="14" t="str">
        <x:v>JEV-003-007</x:v>
      </x:c>
      <x:c r="B82" s="14" t="str">
        <x:v>2026-10-03</x:v>
      </x:c>
      <x:c r="C82" s="14" t="str">
        <x:v>jev-latest</x:v>
      </x:c>
      <x:c r="D82" s="14" t="str">
        <x:v>v2</x:v>
      </x:c>
      <x:c r="E82" s="14" t="str">
        <x:v>Speaker A: We have been seeing too much deformation around this bracket.
Speaker B: The current part is 3 mm aluminum.
Speaker A: We haven't tested another thickness yet.</x:v>
      </x:c>
      <x:c r="F82" s="14" t="str">
        <x:v>Speaker C: We are switching the final design to aluminum.</x:v>
      </x:c>
      <x:c r="G82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82" s="14" t="str">
        <x:v>next_step_commitment</x:v>
      </x:c>
      <x:c r="I82" s="14" t="str">
        <x:v>score</x:v>
      </x:c>
      <x:c r="J82" s="14" t="str">
        <x:v>How strongly does the current utterance commit the team to performing the stated next step?</x:v>
      </x:c>
      <x:c r="K82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  <x:c r="L82" s="14" t="str">
        <x:v>3</x:v>
      </x:c>
      <x:c r="M82" s="14" t="str">
        <x:v>The statement says the change is being carried out.</x:v>
      </x:c>
      <x:c r="N82" s="14" t="str">
        <x:v>2.83</x:v>
      </x:c>
      <x:c r="O82" s="14" t="str">
        <x:v>2.83</x:v>
      </x:c>
      <x:c r="P82" s="14" t="str">
        <x:v>L0 2% | L1 1% | L2 10% | L3 87%</x:v>
      </x:c>
      <x:c r="Q82" s="14" t="str">
        <x:v>83%</x:v>
      </x:c>
      <x:c r="R82" s="14" t="str">
        <x:v>ALINHADO</x:v>
      </x:c>
      <x:c r="S82" s="14" t="str"/>
      <x:c r="T82" s="14" t="str"/>
    </x:row>
    <x:row r="83" ht="100" customHeight="1">
      <x:c r="A83" s="14" t="str">
        <x:v>JEV-003-007</x:v>
      </x:c>
      <x:c r="B83" s="14" t="str">
        <x:v>2026-10-03</x:v>
      </x:c>
      <x:c r="C83" s="14" t="str">
        <x:v>jev-latest</x:v>
      </x:c>
      <x:c r="D83" s="14" t="str">
        <x:v>v2</x:v>
      </x:c>
      <x:c r="E83" s="14" t="str">
        <x:v>Speaker A: We have been seeing too much deformation around this bracket.
Speaker B: The current part is 3 mm aluminum.
Speaker A: We haven't tested another thickness yet.</x:v>
      </x:c>
      <x:c r="F83" s="14" t="str">
        <x:v>Speaker C: We are switching the final design to aluminum.</x:v>
      </x:c>
      <x:c r="G83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83" s="14" t="str">
        <x:v>change_commitment</x:v>
      </x:c>
      <x:c r="I83" s="14" t="str">
        <x:v>score</x:v>
      </x:c>
      <x:c r="J83" s="14" t="str">
        <x:v>How committed is the project to the underlying project change itself, excluding commitment to testing or discussing it?</x:v>
      </x:c>
      <x:c r="K83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  <x:c r="L83" s="14" t="str">
        <x:v>3</x:v>
      </x:c>
      <x:c r="M83" s="14" t="str">
        <x:v>The change is explicitly final and active.</x:v>
      </x:c>
      <x:c r="N83" s="14" t="str">
        <x:v>2.97</x:v>
      </x:c>
      <x:c r="O83" s="14" t="str">
        <x:v>2.97</x:v>
      </x:c>
      <x:c r="P83" s="14" t="str">
        <x:v>L0 0% | L1 0% | L2 1% | L3 99%</x:v>
      </x:c>
      <x:c r="Q83" s="14" t="str">
        <x:v>97%</x:v>
      </x:c>
      <x:c r="R83" s="14" t="str">
        <x:v>ALINHADO</x:v>
      </x:c>
      <x:c r="S83" s="14" t="str"/>
      <x:c r="T83" s="14" t="str"/>
    </x:row>
    <x:row r="84" ht="100" customHeight="1">
      <x:c r="A84" s="14" t="str">
        <x:v>JEV-003-007</x:v>
      </x:c>
      <x:c r="B84" s="14" t="str">
        <x:v>2026-10-03</x:v>
      </x:c>
      <x:c r="C84" s="14" t="str">
        <x:v>jev-latest</x:v>
      </x:c>
      <x:c r="D84" s="14" t="str">
        <x:v>v2</x:v>
      </x:c>
      <x:c r="E84" s="14" t="str">
        <x:v>Speaker A: We have been seeing too much deformation around this bracket.
Speaker B: The current part is 3 mm aluminum.
Speaker A: We haven't tested another thickness yet.</x:v>
      </x:c>
      <x:c r="F84" s="14" t="str">
        <x:v>Speaker C: We are switching the final design to aluminum.</x:v>
      </x:c>
      <x:c r="G84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84" s="14" t="str">
        <x:v>project_impact</x:v>
      </x:c>
      <x:c r="I84" s="14" t="str">
        <x:v>score</x:v>
      </x:c>
      <x:c r="J84" s="14" t="str">
        <x:v>Assuming the event described in the current utterance proceeds or is valid, how broad would its impact on the project be?</x:v>
      </x:c>
      <x:c r="K84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  <x:c r="L84" s="14" t="str">
        <x:v>3</x:v>
      </x:c>
      <x:c r="M84" s="14" t="str">
        <x:v>A final material change to the final design is a major project change.</x:v>
      </x:c>
      <x:c r="N84" s="14" t="str">
        <x:v>2.53</x:v>
      </x:c>
      <x:c r="O84" s="14" t="str">
        <x:v>2.53</x:v>
      </x:c>
      <x:c r="P84" s="14" t="str">
        <x:v>L0 3% | L1 3% | L2 31% | L3 63%</x:v>
      </x:c>
      <x:c r="Q84" s="14" t="str">
        <x:v>53%</x:v>
      </x:c>
      <x:c r="R84" s="14" t="str">
        <x:v>ALINHADO</x:v>
      </x:c>
      <x:c r="S84" s="14" t="str">
        <x:v>LOW_CONFIDENCE</x:v>
      </x:c>
      <x:c r="T84" s="14" t="str">
        <x:v>O nível 3 venceu, mas ainda há 31% no nível 2.</x:v>
      </x:c>
    </x:row>
    <x:row r="85" ht="100" customHeight="1">
      <x:c r="A85" s="14" t="str">
        <x:v>JEV-003-007</x:v>
      </x:c>
      <x:c r="B85" s="14" t="str">
        <x:v>2026-10-03</x:v>
      </x:c>
      <x:c r="C85" s="14" t="str">
        <x:v>jev-latest</x:v>
      </x:c>
      <x:c r="D85" s="14" t="str">
        <x:v>v2</x:v>
      </x:c>
      <x:c r="E85" s="14" t="str">
        <x:v>Speaker A: We have been seeing too much deformation around this bracket.
Speaker B: The current part is 3 mm aluminum.
Speaker A: We haven't tested another thickness yet.</x:v>
      </x:c>
      <x:c r="F85" s="14" t="str">
        <x:v>Speaker C: We are switching the final design to aluminum.</x:v>
      </x:c>
      <x:c r="G85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85" s="14" t="str">
        <x:v>primary_affected_area</x:v>
      </x:c>
      <x:c r="I85" s="14" t="str">
        <x:v>choice</x:v>
      </x:c>
      <x:c r="J85" s="14" t="str">
        <x:v>Which project area is most directly affected by the current utterance?</x:v>
      </x:c>
      <x:c r="K85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  <x:c r="L85" s="14" t="str">
        <x:v>material</x:v>
      </x:c>
      <x:c r="M85" s="14" t="str">
        <x:v>The final change is specifically about material selection.</x:v>
      </x:c>
      <x:c r="N85" s="14" t="str">
        <x:v>material</x:v>
      </x:c>
      <x:c r="O85" s="14" t="str">
        <x:v>material</x:v>
      </x:c>
      <x:c r="P85" s="14" t="str">
        <x:v>material 96% | design 4% | all others 0%</x:v>
      </x:c>
      <x:c r="Q85" s="14" t="str">
        <x:v>96%</x:v>
      </x:c>
      <x:c r="R85" s="14" t="str">
        <x:v>ALINHADO</x:v>
      </x:c>
      <x:c r="S85" s="14" t="str"/>
      <x:c r="T85" s="14" t="str"/>
    </x:row>
    <x:row r="86" ht="100" customHeight="1">
      <x:c r="A86" s="14" t="str">
        <x:v>JEV-003-007</x:v>
      </x:c>
      <x:c r="B86" s="14" t="str">
        <x:v>2026-10-03</x:v>
      </x:c>
      <x:c r="C86" s="14" t="str">
        <x:v>jev-latest</x:v>
      </x:c>
      <x:c r="D86" s="14" t="str">
        <x:v>v2</x:v>
      </x:c>
      <x:c r="E86" s="14" t="str">
        <x:v>Speaker A: We have been seeing too much deformation around this bracket.
Speaker B: The current part is 3 mm aluminum.
Speaker A: We haven't tested another thickness yet.</x:v>
      </x:c>
      <x:c r="F86" s="14" t="str">
        <x:v>Speaker C: We are switching the final design to aluminum.</x:v>
      </x:c>
      <x:c r="G86" s="14" t="str">
        <x:v>{"recent_context": ["Speaker A: We have been seeing too much deformation around this bracket.", "Speaker B: The current part is 3 mm aluminum.", "Speaker A: We haven't tested another thickness yet."], "current_utterance": "Speaker C: We are switching the final design to aluminum."}</x:v>
      </x:c>
      <x:c r="H86" s="14" t="str">
        <x:v>requires_followup</x:v>
      </x:c>
      <x:c r="I86" s="14" t="str">
        <x:v>noul</x:v>
      </x:c>
      <x:c r="J86" s="14" t="str">
        <x:v>Does the current utterance create or update something whose outcome should be checked again later?</x:v>
      </x:c>
      <x:c r="K86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  <x:c r="L86" s="14" t="str">
        <x:v>true</x:v>
      </x:c>
      <x:c r="M86" s="14" t="str">
        <x:v>A final decision should update the tracked item and remain visible through implementation.</x:v>
      </x:c>
      <x:c r="N86" s="14" t="str">
        <x:v>true</x:v>
      </x:c>
      <x:c r="O86" s="14" t="str">
        <x:v>true</x:v>
      </x:c>
      <x:c r="P86" s="14" t="str">
        <x:v>true 89% | false 11%</x:v>
      </x:c>
      <x:c r="Q86" s="14" t="str">
        <x:v>89%</x:v>
      </x:c>
      <x:c r="R86" s="14" t="str">
        <x:v>ALINHADO</x:v>
      </x:c>
      <x:c r="S86" s="14" t="str"/>
      <x:c r="T86" s="14" t="str"/>
    </x:row>
    <x:row r="87" ht="100" customHeight="1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</x:row>
    <x:row r="88" ht="100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</x:row>
    <x:row r="89" ht="100" customHeight="1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</x:row>
    <x:row r="90" ht="100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</x:row>
    <x:row r="91" ht="100" customHeight="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</x:row>
    <x:row r="92" ht="100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</x:row>
    <x:row r="93" ht="100" customHeight="1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</x:row>
    <x:row r="94" ht="100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</x:row>
    <x:row r="95" ht="100" customHeight="1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</x:row>
    <x:row r="96" ht="100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</x:row>
    <x:row r="97" ht="100" customHeight="1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</x:row>
    <x:row r="98" ht="100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</x:row>
    <x:row r="99" ht="100" customHeight="1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</x:row>
    <x:row r="100" ht="100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/>
      <x:c r="T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/>
      <x:c r="T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/>
      <x:c r="T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/>
      <x:c r="T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/>
      <x:c r="T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/>
      <x:c r="T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/>
      <x:c r="T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/>
      <x:c r="T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/>
      <x:c r="T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/>
      <x:c r="T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/>
      <x:c r="T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/>
      <x:c r="T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/>
      <x:c r="T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/>
      <x:c r="T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/>
      <x:c r="T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/>
      <x:c r="T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/>
      <x:c r="T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/>
      <x:c r="T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/>
      <x:c r="T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/>
      <x:c r="T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/>
      <x:c r="T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/>
      <x:c r="T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/>
      <x:c r="T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/>
      <x:c r="T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/>
      <x:c r="T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/>
      <x:c r="T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/>
      <x:c r="T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/>
      <x:c r="T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/>
      <x:c r="T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/>
      <x:c r="T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  <x:c r="S614" s="14"/>
      <x:c r="T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  <x:c r="S615" s="14"/>
      <x:c r="T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  <x:c r="S622" s="14"/>
      <x:c r="T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  <x:c r="S631" s="14"/>
      <x:c r="T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  <x:c r="S632" s="14"/>
      <x:c r="T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  <x:c r="S635" s="14"/>
      <x:c r="T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4"/>
      <x:c r="T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  <x:c r="S638" s="14"/>
      <x:c r="T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  <x:c r="S639" s="14"/>
      <x:c r="T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  <x:c r="S640" s="14"/>
      <x:c r="T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4"/>
      <x:c r="T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4"/>
      <x:c r="T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  <x:c r="S645" s="14"/>
      <x:c r="T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  <x:c r="S647" s="14"/>
      <x:c r="T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  <x:c r="S648" s="14"/>
      <x:c r="T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4"/>
      <x:c r="T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  <x:c r="S652" s="14"/>
      <x:c r="T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4"/>
      <x:c r="T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  <x:c r="S664" s="14"/>
      <x:c r="T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  <x:c r="S666" s="14"/>
      <x:c r="T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  <x:c r="S667" s="14"/>
      <x:c r="T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  <x:c r="S670" s="14"/>
      <x:c r="T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  <x:c r="S673" s="14"/>
      <x:c r="T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  <x:c r="S677" s="14"/>
      <x:c r="T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  <x:c r="S683" s="14"/>
      <x:c r="T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  <x:c r="S687" s="14"/>
      <x:c r="T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  <x:c r="S688" s="14"/>
      <x:c r="T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  <x:c r="S705" s="14"/>
      <x:c r="T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  <x:c r="S708" s="14"/>
      <x:c r="T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  <x:c r="S710" s="14"/>
      <x:c r="T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  <x:c r="S711" s="14"/>
      <x:c r="T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  <x:c r="S712" s="14"/>
      <x:c r="T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4"/>
      <x:c r="T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  <x:c r="S721" s="14"/>
      <x:c r="T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4"/>
      <x:c r="T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  <x:c r="S725" s="14"/>
      <x:c r="T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  <x:c r="S726" s="14"/>
      <x:c r="T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  <x:c r="S727" s="14"/>
      <x:c r="T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  <x:c r="S732" s="14"/>
      <x:c r="T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4"/>
      <x:c r="T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  <x:c r="S740" s="14"/>
      <x:c r="T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4"/>
      <x:c r="T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  <x:c r="S744" s="14"/>
      <x:c r="T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  <x:c r="S748" s="14"/>
      <x:c r="T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  <x:c r="S751" s="14"/>
      <x:c r="T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  <x:c r="S758" s="14"/>
      <x:c r="T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4"/>
      <x:c r="T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  <x:c r="S763" s="14"/>
      <x:c r="T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  <x:c r="S764" s="14"/>
      <x:c r="T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4"/>
      <x:c r="T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  <x:c r="S775" s="14"/>
      <x:c r="T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4"/>
      <x:c r="T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  <x:c r="S779" s="14"/>
      <x:c r="T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  <x:c r="S788" s="14"/>
      <x:c r="T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4"/>
      <x:c r="T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  <x:c r="S792" s="14"/>
      <x:c r="T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  <x:c r="S803" s="14"/>
      <x:c r="T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4"/>
      <x:c r="T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  <x:c r="S815" s="14"/>
      <x:c r="T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  <x:c r="S816" s="14"/>
      <x:c r="T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  <x:c r="S828" s="14"/>
      <x:c r="T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  <x:c r="S829" s="14"/>
      <x:c r="T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  <x:c r="S835" s="14"/>
      <x:c r="T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  <x:c r="S839" s="14"/>
      <x:c r="T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  <x:c r="S843" s="14"/>
      <x:c r="T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  <x:c r="S844" s="14"/>
      <x:c r="T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  <x:c r="S849" s="14"/>
      <x:c r="T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  <x:c r="S850" s="14"/>
      <x:c r="T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  <x:c r="S851" s="14"/>
      <x:c r="T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4"/>
      <x:c r="T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4"/>
      <x:c r="T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4"/>
      <x:c r="T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  <x:c r="S858" s="14"/>
      <x:c r="T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  <x:c r="S859" s="14"/>
      <x:c r="T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  <x:c r="S860" s="14"/>
      <x:c r="T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  <x:c r="S867" s="14"/>
      <x:c r="T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4"/>
      <x:c r="T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  <x:c r="S887" s="14"/>
      <x:c r="T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  <x:c r="S898" s="14"/>
      <x:c r="T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  <x:c r="S900" s="14"/>
      <x:c r="T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  <x:c r="S904" s="14"/>
      <x:c r="T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  <x:c r="S905" s="14"/>
      <x:c r="T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4"/>
      <x:c r="T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  <x:c r="S908" s="14"/>
      <x:c r="T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  <x:c r="S915" s="14"/>
      <x:c r="T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  <x:c r="S927" s="14"/>
      <x:c r="T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  <x:c r="S966" s="14"/>
      <x:c r="T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  <x:c r="S975" s="14"/>
      <x:c r="T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  <x:c r="S976" s="14"/>
      <x:c r="T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  <x:c r="S977" s="14"/>
      <x:c r="T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  <x:c r="S979" s="14"/>
      <x:c r="T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  <x:c r="S989" s="14"/>
      <x:c r="T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4"/>
      <x:c r="T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  <x:c r="S991" s="14"/>
      <x:c r="T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  <x:c r="S992" s="14"/>
      <x:c r="T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  <x:c r="S994" s="14"/>
      <x:c r="T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  <x:c r="S995" s="14"/>
      <x:c r="T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</x:row>
  </x:sheetData>
  <x:conditionalFormatting sqref="R2:R1000">
    <x:cfRule type="expression" dxfId="3" priority="1">
      <x:formula>R2="ALINHADO"</x:formula>
    </x:cfRule>
    <x:cfRule type="expression" dxfId="4" priority="2">
      <x:formula>R2="FALHA"</x:formula>
    </x:cfRule>
    <x:cfRule type="expression" dxfId="5" priority="3">
      <x:formula>R2="AMBÍGUO"</x:formula>
    </x:cfRule>
  </x:conditionalFormatting>
  <x:conditionalFormatting sqref="R21:R86">
    <x:cfRule type="expression" dxfId="19" priority="4">
      <x:formula>R21="ALINHADO"</x:formula>
    </x:cfRule>
    <x:cfRule type="expression" dxfId="20" priority="5">
      <x:formula>R21="FALHA"</x:formula>
    </x:cfRule>
    <x:cfRule type="expression" dxfId="21" priority="6">
      <x:formula>R21="AMBÍGUO"</x:formula>
    </x:cfRule>
  </x:conditionalFormatting>
  <x:dataValidations count="1">
    <x:dataValidation type="list" sqref="R2:R1000">
      <x:formula1>"ALINHADO,FALHA,AMBÍGUO,PENDENTE"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f5fcc5cfe048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46" hidden="0" customWidth="1"/>
    <x:col min="5" max="5" width="18" hidden="0" customWidth="1"/>
    <x:col min="6" max="6" width="44" hidden="0" customWidth="1"/>
    <x:col min="7" max="7" width="14" hidden="0" customWidth="1"/>
    <x:col min="8" max="8" width="15" hidden="0" customWidth="1"/>
    <x:col min="9" max="9" width="23" hidden="0" customWidth="1"/>
    <x:col min="10" max="10" width="36" hidden="0" customWidth="1"/>
  </x:cols>
  <x:sheetData>
    <x:row r="1" ht="30" customHeight="1">
      <x:c r="A1" s="30" t="str">
        <x:v>JEV-003-001 · v1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3">
      <x:c r="A3" s="32" t="str">
        <x:v>Model</x:v>
      </x:c>
      <x:c r="B3" t="str">
        <x:v>jev-latest</x:v>
      </x:c>
      <x:c r="D3" s="32" t="str">
        <x:v>Recent context</x:v>
      </x:c>
      <x:c r="E3" s="32"/>
      <x:c r="F3" s="32"/>
      <x:c r="G3" s="32"/>
      <x:c r="H3" s="32"/>
      <x:c r="I3" s="32"/>
      <x:c r="J3" s="32"/>
    </x:row>
    <x:row r="4">
      <x:c r="A4" s="32" t="str">
        <x:v>Question version</x:v>
      </x:c>
      <x:c r="B4" t="str">
        <x:v>v1</x:v>
      </x:c>
      <x:c r="D4" s="14" t="str">
        <x:v>Speaker A: We have been seeing too much deformation around this bracket.
Speaker B: The current part is 3 mm aluminum.
Speaker A: We haven't tested another thickness yet.</x:v>
      </x:c>
      <x:c r="E4" s="14"/>
      <x:c r="F4" s="14"/>
      <x:c r="G4" s="14"/>
      <x:c r="H4" s="14"/>
      <x:c r="I4" s="14"/>
      <x:c r="J4" s="14"/>
    </x:row>
    <x:row r="5">
      <x:c r="A5" s="32" t="str">
        <x:v>Overall status</x:v>
      </x:c>
      <x:c r="B5" t="str">
        <x:v>ALINHADO</x:v>
      </x:c>
      <x:c r="D5" s="14"/>
      <x:c r="E5" s="14"/>
      <x:c r="F5" s="14"/>
      <x:c r="G5" s="14"/>
      <x:c r="H5" s="14"/>
      <x:c r="I5" s="14"/>
      <x:c r="J5" s="14"/>
    </x:row>
    <x:row r="6">
      <x:c r="A6" s="32" t="str">
        <x:v>State ID</x:v>
      </x:c>
      <x:c r="B6" t="str">
        <x:v>JEV-003-001</x:v>
      </x:c>
      <x:c r="D6" s="14"/>
      <x:c r="E6" s="14"/>
      <x:c r="F6" s="14"/>
      <x:c r="G6" s="14"/>
      <x:c r="H6" s="14"/>
      <x:c r="I6" s="14"/>
      <x:c r="J6" s="14"/>
    </x:row>
    <x:row r="7">
      <x:c r="D7" s="14"/>
      <x:c r="E7" s="14"/>
      <x:c r="F7" s="14"/>
      <x:c r="G7" s="14"/>
      <x:c r="H7" s="14"/>
      <x:c r="I7" s="14"/>
      <x:c r="J7" s="14"/>
    </x:row>
    <x:row r="8">
      <x:c r="A8" s="32" t="str">
        <x:v>Current utterance</x:v>
      </x:c>
      <x:c r="B8" s="32"/>
      <x:c r="C8" s="32"/>
      <x:c r="D8" s="32"/>
      <x:c r="E8" s="32"/>
      <x:c r="F8" s="32"/>
      <x:c r="G8" s="32"/>
      <x:c r="H8" s="32"/>
      <x:c r="I8" s="32"/>
      <x:c r="J8" s="32"/>
    </x:row>
    <x:row r="9">
      <x:c r="A9" s="14" t="str">
        <x:v>Speaker C: Let's make one 4 mm version for the next prototype and compare both before we decide whether to change the design.</x:v>
      </x:c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2">
      <x:c r="A12" s="36" t="str">
        <x:v>Question</x:v>
      </x:c>
      <x:c r="B12" s="36" t="str">
        <x:v>Primitive</x:v>
      </x:c>
      <x:c r="C12" s="36" t="str">
        <x:v>Expected</x:v>
      </x:c>
      <x:c r="D12" s="36" t="str">
        <x:v>Expected reason</x:v>
      </x:c>
      <x:c r="E12" s="36" t="str">
        <x:v>Actual</x:v>
      </x:c>
      <x:c r="F12" s="36" t="str">
        <x:v>Distribution</x:v>
      </x:c>
      <x:c r="G12" s="36" t="str">
        <x:v>Confidence</x:v>
      </x:c>
      <x:c r="H12" s="36" t="str">
        <x:v>Assessment</x:v>
      </x:c>
      <x:c r="I12" s="36" t="str">
        <x:v>Failure mode</x:v>
      </x:c>
      <x:c r="J12" s="36" t="str">
        <x:v>Notes</x:v>
      </x:c>
    </x:row>
    <x:row r="13" ht="70" customHeight="1">
      <x:c r="A13" s="14" t="str">
        <x:v>meaningful_event</x:v>
      </x:c>
      <x:c r="B13" s="14" t="str">
        <x:v>noul</x:v>
      </x:c>
      <x:c r="C13" s="14" t="str">
        <x:v>true</x:v>
      </x:c>
      <x:c r="D13" s="14" t="str">
        <x:v>A concrete prototype comparison is introduced and should matter to the project.</x:v>
      </x:c>
      <x:c r="E13" s="14" t="str">
        <x:v>true</x:v>
      </x:c>
      <x:c r="F13" s="14" t="str">
        <x:v>true 94% | false 6%</x:v>
      </x:c>
      <x:c r="G13" s="14" t="str">
        <x:v>94%</x:v>
      </x:c>
      <x:c r="H13" s="14" t="str">
        <x:v>ALINHADO</x:v>
      </x:c>
      <x:c r="I13" s="14" t="str"/>
      <x:c r="J13" s="14" t="str"/>
    </x:row>
    <x:row r="14" ht="70" customHeight="1">
      <x:c r="A14" s="14" t="str">
        <x:v>event_type</x:v>
      </x:c>
      <x:c r="B14" s="14" t="str">
        <x:v>choice</x:v>
      </x:c>
      <x:c r="C14" s="14" t="str">
        <x:v>test_proposal</x:v>
      </x:c>
      <x:c r="D14" s="14" t="str">
        <x:v>The main event is creating a 4 mm prototype and comparing it before deciding.</x:v>
      </x:c>
      <x:c r="E14" s="14" t="str">
        <x:v>test_proposal</x:v>
      </x:c>
      <x:c r="F14" s="14" t="str">
        <x:v>test_proposal 99% | action_item 1% | all others 0%</x:v>
      </x:c>
      <x:c r="G14" s="14" t="str">
        <x:v>98%</x:v>
      </x:c>
      <x:c r="H14" s="14" t="str">
        <x:v>ALINHADO</x:v>
      </x:c>
      <x:c r="I14" s="14" t="str"/>
      <x:c r="J14" s="14" t="str"/>
    </x:row>
    <x:row r="15" ht="70" customHeight="1">
      <x:c r="A15" s="14" t="str">
        <x:v>decision_is_final</x:v>
      </x:c>
      <x:c r="B15" s="14" t="str">
        <x:v>noul</x:v>
      </x:c>
      <x:c r="C15" s="14" t="str">
        <x:v>false</x:v>
      </x:c>
      <x:c r="D15" s="14" t="str">
        <x:v>The phrase 'before we decide' explicitly says the final design decision is still pending.</x:v>
      </x:c>
      <x:c r="E15" s="14" t="str">
        <x:v>false</x:v>
      </x:c>
      <x:c r="F15" s="14" t="str">
        <x:v>true 5% | false 95%</x:v>
      </x:c>
      <x:c r="G15" s="14" t="str">
        <x:v>95%</x:v>
      </x:c>
      <x:c r="H15" s="14" t="str">
        <x:v>ALINHADO</x:v>
      </x:c>
      <x:c r="I15" s="14" t="str"/>
      <x:c r="J15" s="14" t="str"/>
    </x:row>
    <x:row r="16" ht="70" customHeight="1">
      <x:c r="A16" s="14" t="str">
        <x:v>test_is_proposed</x:v>
      </x:c>
      <x:c r="B16" s="14" t="str">
        <x:v>noul</x:v>
      </x:c>
      <x:c r="C16" s="14" t="str">
        <x:v>true</x:v>
      </x:c>
      <x:c r="D16" s="14" t="str">
        <x:v>The speaker proposes building one 4 mm version and comparing both versions.</x:v>
      </x:c>
      <x:c r="E16" s="14" t="str">
        <x:v>true</x:v>
      </x:c>
      <x:c r="F16" s="14" t="str">
        <x:v>true 99% | false 1%</x:v>
      </x:c>
      <x:c r="G16" s="14" t="str">
        <x:v>99%</x:v>
      </x:c>
      <x:c r="H16" s="14" t="str">
        <x:v>ALINHADO</x:v>
      </x:c>
      <x:c r="I16" s="14" t="str"/>
      <x:c r="J16" s="14" t="str"/>
    </x:row>
    <x:row r="17" ht="70" customHeight="1">
      <x:c r="A17" s="14" t="str">
        <x:v>project_impact</x:v>
      </x:c>
      <x:c r="B17" s="14" t="str">
        <x:v>score</x:v>
      </x:c>
      <x:c r="C17" s="14" t="str">
        <x:v>2</x:v>
      </x:c>
      <x:c r="D17" s="14" t="str">
        <x:v>This affects a component test and a near-term engineering decision, but the final design has not changed yet.</x:v>
      </x:c>
      <x:c r="E17" s="14" t="str">
        <x:v>2.08</x:v>
      </x:c>
      <x:c r="F17" s="14" t="str">
        <x:v>L0 0% | L1 0% | L2 92% | L3 8%</x:v>
      </x:c>
      <x:c r="G17" s="14" t="str">
        <x:v>92%</x:v>
      </x:c>
      <x:c r="H17" s="14" t="str">
        <x:v>ALINHADO</x:v>
      </x:c>
      <x:c r="I17" s="14" t="str"/>
      <x:c r="J17" s="14" t="str"/>
    </x:row>
    <x:row r="18" ht="70" customHeight="1">
      <x:c r="A18" s="14" t="str">
        <x:v>commitment_level</x:v>
      </x:c>
      <x:c r="B18" s="14" t="str">
        <x:v>score</x:v>
      </x:c>
      <x:c r="C18" s="14" t="str">
        <x:v>2</x:v>
      </x:c>
      <x:c r="D18" s="14" t="str">
        <x:v>There is a concrete proposed next step, but there is no final design commitment.</x:v>
      </x:c>
      <x:c r="E18" s="14" t="str">
        <x:v>2.21</x:v>
      </x:c>
      <x:c r="F18" s="14" t="str">
        <x:v>L0 0% | L1 0% | L2 79% | L3 21%</x:v>
      </x:c>
      <x:c r="G18" s="14" t="str">
        <x:v>79%</x:v>
      </x:c>
      <x:c r="H18" s="14" t="str">
        <x:v>ALINHADO</x:v>
      </x:c>
      <x:c r="I18" s="14" t="str">
        <x:v>CATEGORY_OVERLAP</x:v>
      </x:c>
      <x:c r="J18" s="14" t="str"/>
    </x:row>
    <x:row r="19" ht="70" customHeight="1">
      <x:c r="A19" s="14" t="str">
        <x:v>affected_area</x:v>
      </x:c>
      <x:c r="B19" s="14" t="str">
        <x:v>choice</x:v>
      </x:c>
      <x:c r="C19" s="14" t="str">
        <x:v>design</x:v>
      </x:c>
      <x:c r="D19" s="14" t="str">
        <x:v>Thickness is primarily a design dimension, while performance is secondary because deformation is being compared.</x:v>
      </x:c>
      <x:c r="E19" s="14" t="str">
        <x:v>design</x:v>
      </x:c>
      <x:c r="F19" s="14" t="str">
        <x:v>design 82% | performance 12% | material 5% | process 1% | others 0%</x:v>
      </x:c>
      <x:c r="G19" s="14" t="str">
        <x:v>79%</x:v>
      </x:c>
      <x:c r="H19" s="14" t="str">
        <x:v>ALINHADO</x:v>
      </x:c>
      <x:c r="I19" s="14" t="str">
        <x:v>MULTI_LABEL_LIMITATION</x:v>
      </x:c>
      <x:c r="J19" s="14" t="str"/>
    </x:row>
    <x:row r="20" ht="70" customHeight="1">
      <x:c r="A20" s="14" t="str">
        <x:v>requires_followup</x:v>
      </x:c>
      <x:c r="B20" s="14" t="str">
        <x:v>noul</x:v>
      </x:c>
      <x:c r="C20" s="14" t="str">
        <x:v>true</x:v>
      </x:c>
      <x:c r="D20" s="14" t="str">
        <x:v>The prototype comparison must be revisited before the design decision.</x:v>
      </x:c>
      <x:c r="E20" s="14" t="str">
        <x:v>true</x:v>
      </x:c>
      <x:c r="F20" s="14" t="str">
        <x:v>true 96% | false 4%</x:v>
      </x:c>
      <x:c r="G20" s="14" t="str">
        <x:v>96%</x:v>
      </x:c>
      <x:c r="H20" s="14" t="str">
        <x:v>ALINHADO</x:v>
      </x:c>
      <x:c r="I20" s="14" t="str"/>
      <x:c r="J20" s="14" t="str"/>
    </x:row>
  </x:sheetData>
  <x:mergeCells>
    <x:mergeCell ref="A1:J1"/>
    <x:mergeCell ref="D3:J3"/>
    <x:mergeCell ref="D4:J7"/>
    <x:mergeCell ref="A8:J8"/>
    <x:mergeCell ref="A9:J10"/>
  </x:mergeCells>
  <x:conditionalFormatting sqref="H13:H20">
    <x:cfRule type="expression" dxfId="6" priority="1">
      <x:formula>H13="ALINHADO"</x:formula>
    </x:cfRule>
    <x:cfRule type="expression" dxfId="7" priority="2">
      <x:formula>H13="FALHA"</x:formula>
    </x:cfRule>
    <x:cfRule type="expression" dxfId="8" priority="3">
      <x:formula>H13="AMBÍGUO"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46" hidden="0" customWidth="1"/>
    <x:col min="5" max="5" width="18" hidden="0" customWidth="1"/>
    <x:col min="6" max="6" width="44" hidden="0" customWidth="1"/>
    <x:col min="7" max="7" width="14" hidden="0" customWidth="1"/>
    <x:col min="8" max="8" width="15" hidden="0" customWidth="1"/>
    <x:col min="9" max="9" width="23" hidden="0" customWidth="1"/>
    <x:col min="10" max="10" width="36" hidden="0" customWidth="1"/>
  </x:cols>
  <x:sheetData>
    <x:row r="1" ht="30" customHeight="1">
      <x:c r="A1" s="30" t="str">
        <x:v>JEV-003-001 · v2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3">
      <x:c r="A3" s="32" t="str">
        <x:v>Model</x:v>
      </x:c>
      <x:c r="B3" t="str">
        <x:v>jev-latest</x:v>
      </x:c>
      <x:c r="D3" s="32" t="str">
        <x:v>Recent context</x:v>
      </x:c>
      <x:c r="E3" s="32"/>
      <x:c r="F3" s="32"/>
      <x:c r="G3" s="32"/>
      <x:c r="H3" s="32"/>
      <x:c r="I3" s="32"/>
      <x:c r="J3" s="32"/>
    </x:row>
    <x:row r="4">
      <x:c r="A4" s="32" t="str">
        <x:v>Question version</x:v>
      </x:c>
      <x:c r="B4" t="str">
        <x:v>v2</x:v>
      </x:c>
      <x:c r="D4" s="14" t="str">
        <x:v>Speaker A: We have been seeing too much deformation around this bracket.
Speaker B: The current part is 3 mm aluminum.
Speaker A: We haven't tested another thickness yet.</x:v>
      </x:c>
      <x:c r="E4" s="14"/>
      <x:c r="F4" s="14"/>
      <x:c r="G4" s="14"/>
      <x:c r="H4" s="14"/>
      <x:c r="I4" s="14"/>
      <x:c r="J4" s="14"/>
    </x:row>
    <x:row r="5">
      <x:c r="A5" s="32" t="str">
        <x:v>Overall status</x:v>
      </x:c>
      <x:c r="B5" s="40" t="str">
        <x:v>10/11 ALINHADOS</x:v>
      </x:c>
      <x:c r="D5" s="14"/>
      <x:c r="E5" s="14"/>
      <x:c r="F5" s="14"/>
      <x:c r="G5" s="14"/>
      <x:c r="H5" s="14"/>
      <x:c r="I5" s="14"/>
      <x:c r="J5" s="14"/>
    </x:row>
    <x:row r="6">
      <x:c r="A6" s="32" t="str">
        <x:v>State ID</x:v>
      </x:c>
      <x:c r="B6" t="str">
        <x:v>JEV-003-001</x:v>
      </x:c>
      <x:c r="D6" s="14"/>
      <x:c r="E6" s="14"/>
      <x:c r="F6" s="14"/>
      <x:c r="G6" s="14"/>
      <x:c r="H6" s="14"/>
      <x:c r="I6" s="14"/>
      <x:c r="J6" s="14"/>
    </x:row>
    <x:row r="7">
      <x:c r="D7" s="14"/>
      <x:c r="E7" s="14"/>
      <x:c r="F7" s="14"/>
      <x:c r="G7" s="14"/>
      <x:c r="H7" s="14"/>
      <x:c r="I7" s="14"/>
      <x:c r="J7" s="14"/>
    </x:row>
    <x:row r="8">
      <x:c r="A8" s="32" t="str">
        <x:v>Current utterance</x:v>
      </x:c>
      <x:c r="B8" s="32"/>
      <x:c r="C8" s="32"/>
      <x:c r="D8" s="32"/>
      <x:c r="E8" s="32"/>
      <x:c r="F8" s="32"/>
      <x:c r="G8" s="32"/>
      <x:c r="H8" s="32"/>
      <x:c r="I8" s="32"/>
      <x:c r="J8" s="32"/>
    </x:row>
    <x:row r="9">
      <x:c r="A9" s="14" t="str">
        <x:v>Speaker C: Let's make one 4 mm version for the next prototype and compare both before we decide whether to change the design.</x:v>
      </x:c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2">
      <x:c r="A12" s="36" t="str">
        <x:v>Question</x:v>
      </x:c>
      <x:c r="B12" s="36" t="str">
        <x:v>Primitive</x:v>
      </x:c>
      <x:c r="C12" s="36" t="str">
        <x:v>Expected</x:v>
      </x:c>
      <x:c r="D12" s="36" t="str">
        <x:v>Expected reason</x:v>
      </x:c>
      <x:c r="E12" s="36" t="str">
        <x:v>Actual</x:v>
      </x:c>
      <x:c r="F12" s="36" t="str">
        <x:v>Distribution</x:v>
      </x:c>
      <x:c r="G12" s="36" t="str">
        <x:v>Confidence</x:v>
      </x:c>
      <x:c r="H12" s="36" t="str">
        <x:v>Assessment</x:v>
      </x:c>
      <x:c r="I12" s="36" t="str">
        <x:v>Failure mode</x:v>
      </x:c>
      <x:c r="J12" s="36" t="str">
        <x:v>Notes</x:v>
      </x:c>
    </x:row>
    <x:row r="13" ht="70" customHeight="1">
      <x:c r="A13" s="14" t="str">
        <x:v>should_track</x:v>
      </x:c>
      <x:c r="B13" s="14" t="str">
        <x:v>noul</x:v>
      </x:c>
      <x:c r="C13" s="14" t="str">
        <x:v>true</x:v>
      </x:c>
      <x:c r="D13" s="14" t="str">
        <x:v>The utterance creates a prototype comparison that should remain visible until the result is known.</x:v>
      </x:c>
      <x:c r="E13" s="14" t="str">
        <x:v>true</x:v>
      </x:c>
      <x:c r="F13" s="14" t="str">
        <x:v>true 90% | false 10%</x:v>
      </x:c>
      <x:c r="G13" s="14" t="str">
        <x:v>90%</x:v>
      </x:c>
      <x:c r="H13" s="14" t="str">
        <x:v>ALINHADO</x:v>
      </x:c>
      <x:c r="I13" s="14" t="str"/>
      <x:c r="J13" s="14" t="str"/>
    </x:row>
    <x:row r="14" ht="70" customHeight="1">
      <x:c r="A14" s="14" t="str">
        <x:v>event_type</x:v>
      </x:c>
      <x:c r="B14" s="14" t="str">
        <x:v>choice</x:v>
      </x:c>
      <x:c r="C14" s="14" t="str">
        <x:v>test_proposal</x:v>
      </x:c>
      <x:c r="D14" s="14" t="str">
        <x:v>The primary event is the proposal to build and compare a 4 mm prototype.</x:v>
      </x:c>
      <x:c r="E14" s="14" t="str">
        <x:v>test_proposal</x:v>
      </x:c>
      <x:c r="F14" s="14" t="str">
        <x:v>test_proposal 98% | action_item 2% | all others 0%</x:v>
      </x:c>
      <x:c r="G14" s="14" t="str">
        <x:v>97%</x:v>
      </x:c>
      <x:c r="H14" s="14" t="str">
        <x:v>ALINHADO</x:v>
      </x:c>
      <x:c r="I14" s="14" t="str"/>
      <x:c r="J14" s="14" t="str"/>
    </x:row>
    <x:row r="15" ht="70" customHeight="1">
      <x:c r="A15" s="14" t="str">
        <x:v>test_is_proposed</x:v>
      </x:c>
      <x:c r="B15" s="14" t="str">
        <x:v>noul</x:v>
      </x:c>
      <x:c r="C15" s="14" t="str">
        <x:v>true</x:v>
      </x:c>
      <x:c r="D15" s="14" t="str">
        <x:v>The speaker explicitly proposes making one 4 mm version and comparing it.</x:v>
      </x:c>
      <x:c r="E15" s="14" t="str">
        <x:v>true</x:v>
      </x:c>
      <x:c r="F15" s="14" t="str">
        <x:v>true 98% | false 2%</x:v>
      </x:c>
      <x:c r="G15" s="14" t="str">
        <x:v>98%</x:v>
      </x:c>
      <x:c r="H15" s="14" t="str">
        <x:v>ALINHADO</x:v>
      </x:c>
      <x:c r="I15" s="14" t="str"/>
      <x:c r="J15" s="14" t="str"/>
    </x:row>
    <x:row r="16" ht="70" customHeight="1">
      <x:c r="A16" s="14" t="str">
        <x:v>decision_is_final</x:v>
      </x:c>
      <x:c r="B16" s="14" t="str">
        <x:v>noul</x:v>
      </x:c>
      <x:c r="C16" s="14" t="str">
        <x:v>false</x:v>
      </x:c>
      <x:c r="D16" s="14" t="str">
        <x:v>The final design decision is explicitly postponed until after the comparison.</x:v>
      </x:c>
      <x:c r="E16" s="14" t="str">
        <x:v>false</x:v>
      </x:c>
      <x:c r="F16" s="14" t="str">
        <x:v>true 5% | false 95%</x:v>
      </x:c>
      <x:c r="G16" s="14" t="str">
        <x:v>95%</x:v>
      </x:c>
      <x:c r="H16" s="14" t="str">
        <x:v>ALINHADO</x:v>
      </x:c>
      <x:c r="I16" s="14" t="str"/>
      <x:c r="J16" s="14" t="str"/>
    </x:row>
    <x:row r="17" ht="70" customHeight="1">
      <x:c r="A17" s="14" t="str">
        <x:v>pending_decision</x:v>
      </x:c>
      <x:c r="B17" s="14" t="str">
        <x:v>noul</x:v>
      </x:c>
      <x:c r="C17" s="14" t="str">
        <x:v>true</x:v>
      </x:c>
      <x:c r="D17" s="14" t="str">
        <x:v>The team still needs to decide whether to change the design after the test.</x:v>
      </x:c>
      <x:c r="E17" s="14" t="str">
        <x:v>true</x:v>
      </x:c>
      <x:c r="F17" s="14" t="str">
        <x:v>true 95% | false 5%</x:v>
      </x:c>
      <x:c r="G17" s="14" t="str">
        <x:v>95%</x:v>
      </x:c>
      <x:c r="H17" s="14" t="str">
        <x:v>ALINHADO</x:v>
      </x:c>
      <x:c r="I17" s="14" t="str"/>
      <x:c r="J17" s="14" t="str"/>
    </x:row>
    <x:row r="18" ht="70" customHeight="1">
      <x:c r="A18" s="14" t="str">
        <x:v>creates_action_item</x:v>
      </x:c>
      <x:c r="B18" s="14" t="str">
        <x:v>noul</x:v>
      </x:c>
      <x:c r="C18" s="14" t="str">
        <x:v>true</x:v>
      </x:c>
      <x:c r="D18" s="14" t="str">
        <x:v>Making one 4 mm prototype and comparing it is a concrete next action.</x:v>
      </x:c>
      <x:c r="E18" s="14" t="str">
        <x:v>true</x:v>
      </x:c>
      <x:c r="F18" s="14" t="str">
        <x:v>true 96% | false 4%</x:v>
      </x:c>
      <x:c r="G18" s="14" t="str">
        <x:v>96%</x:v>
      </x:c>
      <x:c r="H18" s="14" t="str">
        <x:v>ALINHADO</x:v>
      </x:c>
      <x:c r="I18" s="14" t="str"/>
      <x:c r="J18" s="14" t="str"/>
    </x:row>
    <x:row r="19" ht="70" customHeight="1">
      <x:c r="A19" s="14" t="str">
        <x:v>next_step_commitment</x:v>
      </x:c>
      <x:c r="B19" s="14" t="str">
        <x:v>score</x:v>
      </x:c>
      <x:c r="C19" s="14" t="str">
        <x:v>2</x:v>
      </x:c>
      <x:c r="D19" s="14" t="str">
        <x:v>The next step is concrete, but the utterance does not clearly show explicit team agreement, assignment, or scheduling.</x:v>
      </x:c>
      <x:c r="E19" s="14" t="str">
        <x:v>2.35</x:v>
      </x:c>
      <x:c r="F19" s="14" t="str">
        <x:v>L0 0% | L1 0% | L2 65% | L3 35%</x:v>
      </x:c>
      <x:c r="G19" s="14" t="str">
        <x:v>65%</x:v>
      </x:c>
      <x:c r="H19" s="14" t="str">
        <x:v>ALINHADO</x:v>
      </x:c>
      <x:c r="I19" s="14" t="str">
        <x:v>BOUNDARY_2_3</x:v>
      </x:c>
      <x:c r="J19" s="14" t="str">
        <x:v>A resposta principal continua no nível 2, mas existe incerteza relevante entre 2 e 3.</x:v>
      </x:c>
    </x:row>
    <x:row r="20" ht="70" customHeight="1">
      <x:c r="A20" s="14" t="str">
        <x:v>change_commitment</x:v>
      </x:c>
      <x:c r="B20" s="14" t="str">
        <x:v>score</x:v>
      </x:c>
      <x:c r="C20" s="14" t="str">
        <x:v>1</x:v>
      </x:c>
      <x:c r="D20" s="14" t="str">
        <x:v>Changing the final design is still only being explored and depends on the test.</x:v>
      </x:c>
      <x:c r="E20" s="14" t="str">
        <x:v>1.69</x:v>
      </x:c>
      <x:c r="F20" s="14" t="str">
        <x:v>L0 0% | L1 31% | L2 69% | L3 0%</x:v>
      </x:c>
      <x:c r="G20" s="14" t="str">
        <x:v>69%</x:v>
      </x:c>
      <x:c r="H20" s="14" t="str">
        <x:v>FALHA</x:v>
      </x:c>
      <x:c r="I20" s="14" t="str">
        <x:v>OVERCOMMITMENT</x:v>
      </x:c>
      <x:c r="J20" s="14" t="str">
        <x:v>O esperado era nível 1. O modelo colocou 69% no nível 2 e tratou a mudança como mais concreta do que o state sustenta.</x:v>
      </x:c>
    </x:row>
    <x:row r="21" ht="70" customHeight="1">
      <x:c r="A21" s="14" t="str">
        <x:v>project_impact</x:v>
      </x:c>
      <x:c r="B21" s="14" t="str">
        <x:v>score</x:v>
      </x:c>
      <x:c r="C21" s="14" t="str">
        <x:v>2</x:v>
      </x:c>
      <x:c r="D21" s="14" t="str">
        <x:v>The event affects a component test and a near-term design decision, but not yet the whole project.</x:v>
      </x:c>
      <x:c r="E21" s="14" t="str">
        <x:v>2.00</x:v>
      </x:c>
      <x:c r="F21" s="14" t="str">
        <x:v>L0 0% | L1 0% | L2 99% | L3 1%</x:v>
      </x:c>
      <x:c r="G21" s="14" t="str">
        <x:v>99%</x:v>
      </x:c>
      <x:c r="H21" s="14" t="str">
        <x:v>ALINHADO</x:v>
      </x:c>
      <x:c r="I21" s="14" t="str"/>
      <x:c r="J21" s="14" t="str"/>
    </x:row>
    <x:row r="22" ht="70" customHeight="1">
      <x:c r="A22" s="14" t="str">
        <x:v>primary_affected_area</x:v>
      </x:c>
      <x:c r="B22" s="14" t="str">
        <x:v>choice</x:v>
      </x:c>
      <x:c r="C22" s="14" t="str">
        <x:v>design</x:v>
      </x:c>
      <x:c r="D22" s="14" t="str">
        <x:v>The proposed variable is bracket thickness, which is primarily a design dimension.</x:v>
      </x:c>
      <x:c r="E22" s="14" t="str">
        <x:v>design</x:v>
      </x:c>
      <x:c r="F22" s="14" t="str">
        <x:v>design 89% | performance 6% | material 4% | process 1% | all others 0%</x:v>
      </x:c>
      <x:c r="G22" s="14" t="str">
        <x:v>88%</x:v>
      </x:c>
      <x:c r="H22" s="14" t="str">
        <x:v>ALINHADO</x:v>
      </x:c>
      <x:c r="I22" s="14" t="str"/>
      <x:c r="J22" s="14" t="str"/>
    </x:row>
    <x:row r="23" ht="70" customHeight="1">
      <x:c r="A23" s="14" t="str">
        <x:v>requires_followup</x:v>
      </x:c>
      <x:c r="B23" s="14" t="str">
        <x:v>noul</x:v>
      </x:c>
      <x:c r="C23" s="14" t="str">
        <x:v>true</x:v>
      </x:c>
      <x:c r="D23" s="14" t="str">
        <x:v>The test result must be revisited before the final design decision.</x:v>
      </x:c>
      <x:c r="E23" s="14" t="str">
        <x:v>true</x:v>
      </x:c>
      <x:c r="F23" s="14" t="str">
        <x:v>true 95% | false 5%</x:v>
      </x:c>
      <x:c r="G23" s="14" t="str">
        <x:v>95%</x:v>
      </x:c>
      <x:c r="H23" s="14" t="str">
        <x:v>ALINHADO</x:v>
      </x:c>
      <x:c r="I23" s="14" t="str"/>
      <x:c r="J23" s="14" t="str"/>
    </x:row>
    <x:row r="27">
      <x:c r="A27" s="37" t="str">
        <x:v>Question</x:v>
      </x:c>
      <x:c r="B27" s="37" t="str">
        <x:v>Primitive</x:v>
      </x:c>
      <x:c r="C27" s="37" t="str">
        <x:v>Instruction</x:v>
      </x:c>
      <x:c r="D27" s="37" t="str">
        <x:v>Criteria</x:v>
      </x:c>
    </x:row>
    <x:row r="28" ht="95" customHeight="1">
      <x:c r="A28" s="14" t="str">
        <x:v>should_track</x:v>
      </x:c>
      <x:c r="B28" s="14" t="str">
        <x:v>noul</x:v>
      </x:c>
      <x:c r="C28" s="14" t="str">
        <x:v>Should the current utterance create a new tracked project item or update an existing tracked item?</x:v>
      </x:c>
      <x:c r="D28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</x:row>
    <x:row r="29" ht="95" customHeight="1">
      <x:c r="A29" s="14" t="str">
        <x:v>event_type</x:v>
      </x:c>
      <x:c r="B29" s="14" t="str">
        <x:v>choice</x:v>
      </x:c>
      <x:c r="C29" s="14" t="str">
        <x:v>Classify the primary project event expressed in the current utterance.</x:v>
      </x:c>
      <x:c r="D29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</x:row>
    <x:row r="30" ht="95" customHeight="1">
      <x:c r="A30" s="14" t="str">
        <x:v>test_is_proposed</x:v>
      </x:c>
      <x:c r="B30" s="14" t="str">
        <x:v>noul</x:v>
      </x:c>
      <x:c r="C30" s="14" t="str">
        <x:v>Does the current utterance explicitly propose performing a test, experiment, prototype, trial, measurement, validation, or comparison?</x:v>
      </x:c>
      <x:c r="D30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</x:row>
    <x:row r="31" ht="95" customHeight="1">
      <x:c r="A31" s="14" t="str">
        <x:v>decision_is_final</x:v>
      </x:c>
      <x:c r="B31" s="14" t="str">
        <x:v>noul</x:v>
      </x:c>
      <x:c r="C31" s="14" t="str">
        <x:v>Does the current utterance commit the project to a choice or change now, without waiting for a future test, condition, approval, or unresolved decision?</x:v>
      </x:c>
      <x:c r="D31" s="14" t="str">
        <x:v>TRUE: The choice or change should be treated as decided and active now. FALSE: It is exploratory, conditional, proposed, waiting on evidence or approval, or no decision is present.</x:v>
      </x:c>
    </x:row>
    <x:row r="32" ht="95" customHeight="1">
      <x:c r="A32" s="14" t="str">
        <x:v>pending_decision</x:v>
      </x:c>
      <x:c r="B32" s="14" t="str">
        <x:v>noul</x:v>
      </x:c>
      <x:c r="C32" s="14" t="str">
        <x:v>Does the current utterance establish that a specific project decision is still unresolved and must be made later?</x:v>
      </x:c>
      <x:c r="D32" s="14" t="str">
        <x:v>TRUE: A specific future decision remains open and may depend on a test, evidence, approval, or another condition. FALSE: No future decision is established, or the relevant decision is already final.</x:v>
      </x:c>
    </x:row>
    <x:row r="33" ht="95" customHeight="1">
      <x:c r="A33" s="14" t="str">
        <x:v>creates_action_item</x:v>
      </x:c>
      <x:c r="B33" s="14" t="str">
        <x:v>noul</x:v>
      </x:c>
      <x:c r="C33" s="14" t="str">
        <x:v>Does the current utterance establish a concrete task or next action that someone should perform?</x:v>
      </x:c>
      <x:c r="D33" s="14" t="str">
        <x:v>TRUE: A specific activity should be performed, even if no person or deadline is explicitly assigned. FALSE: The utterance only discusses, observes, hypothesizes, or evaluates something without establishing a concrete action.</x:v>
      </x:c>
    </x:row>
    <x:row r="34" ht="95" customHeight="1">
      <x:c r="A34" s="14" t="str">
        <x:v>next_step_commitment</x:v>
      </x:c>
      <x:c r="B34" s="14" t="str">
        <x:v>score</x:v>
      </x:c>
      <x:c r="C34" s="14" t="str">
        <x:v>How strongly does the current utterance commit the team to performing the stated next step?</x:v>
      </x:c>
      <x:c r="D34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</x:row>
    <x:row r="35" ht="95" customHeight="1">
      <x:c r="A35" s="14" t="str">
        <x:v>change_commitment</x:v>
      </x:c>
      <x:c r="B35" s="14" t="str">
        <x:v>score</x:v>
      </x:c>
      <x:c r="C35" s="14" t="str">
        <x:v>How committed is the project to the underlying project change itself, excluding commitment to testing or discussing it?</x:v>
      </x:c>
      <x:c r="D35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</x:row>
    <x:row r="36" ht="95" customHeight="1">
      <x:c r="A36" s="14" t="str">
        <x:v>project_impact</x:v>
      </x:c>
      <x:c r="B36" s="14" t="str">
        <x:v>score</x:v>
      </x:c>
      <x:c r="C36" s="14" t="str">
        <x:v>Assuming the event described in the current utterance proceeds or is valid, how broad would its impact on the project be?</x:v>
      </x:c>
      <x:c r="D36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</x:row>
    <x:row r="37" ht="95" customHeight="1">
      <x:c r="A37" s="14" t="str">
        <x:v>primary_affected_area</x:v>
      </x:c>
      <x:c r="B37" s="14" t="str">
        <x:v>choice</x:v>
      </x:c>
      <x:c r="C37" s="14" t="str">
        <x:v>Which project area is most directly affected by the current utterance?</x:v>
      </x:c>
      <x:c r="D37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</x:row>
    <x:row r="38" ht="95" customHeight="1">
      <x:c r="A38" s="14" t="str">
        <x:v>requires_followup</x:v>
      </x:c>
      <x:c r="B38" s="14" t="str">
        <x:v>noul</x:v>
      </x:c>
      <x:c r="C38" s="14" t="str">
        <x:v>Does the current utterance create or update something whose outcome should be checked again later?</x:v>
      </x:c>
      <x:c r="D38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</x:row>
  </x:sheetData>
  <x:mergeCells>
    <x:mergeCell ref="A1:J1"/>
    <x:mergeCell ref="D3:J3"/>
    <x:mergeCell ref="D4:J7"/>
    <x:mergeCell ref="A8:J8"/>
    <x:mergeCell ref="A9:J10"/>
  </x:mergeCells>
  <x:conditionalFormatting sqref="H13:H23">
    <x:cfRule type="expression" dxfId="13" priority="1">
      <x:formula>H13="ALINHADO"</x:formula>
    </x:cfRule>
    <x:cfRule type="expression" dxfId="14" priority="2">
      <x:formula>H13="FALHA"</x:formula>
    </x:cfRule>
    <x:cfRule type="expression" dxfId="15" priority="3">
      <x:formula>H13="AMBÍGUO"</x:formula>
    </x:cfRule>
  </x:conditionalFormatting>
  <x:dataValidations count="1">
    <x:dataValidation type="list" sqref="H13:H23">
      <x:formula1>"PENDENTE,ALINHADO,FALHA,AMBÍGUO"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46" hidden="0" customWidth="1"/>
    <x:col min="5" max="5" width="18" hidden="0" customWidth="1"/>
    <x:col min="6" max="6" width="46" hidden="0" customWidth="1"/>
    <x:col min="7" max="7" width="14" hidden="0" customWidth="1"/>
    <x:col min="8" max="8" width="15" hidden="0" customWidth="1"/>
    <x:col min="9" max="9" width="28" hidden="0" customWidth="1"/>
    <x:col min="10" max="10" width="44" hidden="0" customWidth="1"/>
  </x:cols>
  <x:sheetData>
    <x:row r="1" ht="30" customHeight="1">
      <x:c r="A1" s="43" t="str">
        <x:v>JEV-003-002 ·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>
      <x:c r="A3" s="46" t="str">
        <x:v>Model</x:v>
      </x:c>
      <x:c r="B3" t="str">
        <x:v>jev-latest</x:v>
      </x:c>
      <x:c r="D3" s="46" t="str">
        <x:v>Recent context</x:v>
      </x:c>
      <x:c r="E3" s="46"/>
      <x:c r="F3" s="46"/>
      <x:c r="G3" s="46"/>
      <x:c r="H3" s="46"/>
      <x:c r="I3" s="46"/>
      <x:c r="J3" s="46"/>
    </x:row>
    <x:row r="4">
      <x:c r="A4" s="46" t="str">
        <x:v>Question version</x:v>
      </x:c>
      <x:c r="B4" t="str">
        <x:v>v2</x:v>
      </x:c>
      <x:c r="D4" s="14" t="str">
        <x:v>Speaker A: We have been seeing too much deformation around this bracket.
Speaker B: The current part is 3 mm aluminum.
Speaker A: We haven't tested another thickness yet.</x:v>
      </x:c>
      <x:c r="E4" s="14"/>
      <x:c r="F4" s="14"/>
      <x:c r="G4" s="14"/>
      <x:c r="H4" s="14"/>
      <x:c r="I4" s="14"/>
      <x:c r="J4" s="14"/>
    </x:row>
    <x:row r="5">
      <x:c r="A5" s="46" t="str">
        <x:v>Overall status</x:v>
      </x:c>
      <x:c r="B5" t="str">
        <x:v>FALHA</x:v>
      </x:c>
      <x:c r="D5" s="14"/>
      <x:c r="E5" s="14"/>
      <x:c r="F5" s="14"/>
      <x:c r="G5" s="14"/>
      <x:c r="H5" s="14"/>
      <x:c r="I5" s="14"/>
      <x:c r="J5" s="14"/>
    </x:row>
    <x:row r="6">
      <x:c r="A6" s="46" t="str">
        <x:v>State ID</x:v>
      </x:c>
      <x:c r="B6" t="str">
        <x:v>JEV-003-002</x:v>
      </x:c>
      <x:c r="D6" s="14"/>
      <x:c r="E6" s="14"/>
      <x:c r="F6" s="14"/>
      <x:c r="G6" s="14"/>
      <x:c r="H6" s="14"/>
      <x:c r="I6" s="14"/>
      <x:c r="J6" s="14"/>
    </x:row>
    <x:row r="7">
      <x:c r="D7" s="14"/>
      <x:c r="E7" s="14"/>
      <x:c r="F7" s="14"/>
      <x:c r="G7" s="14"/>
      <x:c r="H7" s="14"/>
      <x:c r="I7" s="14"/>
      <x:c r="J7" s="14"/>
    </x:row>
    <x:row r="8">
      <x:c r="A8" s="46" t="str">
        <x:v>Current utterance</x:v>
      </x:c>
      <x:c r="B8" s="46"/>
      <x:c r="C8" s="46"/>
      <x:c r="D8" s="46"/>
      <x:c r="E8" s="46"/>
      <x:c r="F8" s="46"/>
      <x:c r="G8" s="46"/>
      <x:c r="H8" s="46"/>
      <x:c r="I8" s="46"/>
      <x:c r="J8" s="46"/>
    </x:row>
    <x:row r="9">
      <x:c r="A9" s="14" t="str">
        <x:v>Speaker C: Maybe we could use aluminum.</x:v>
      </x:c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2">
      <x:c r="A12" s="50" t="str">
        <x:v>Question</x:v>
      </x:c>
      <x:c r="B12" s="50" t="str">
        <x:v>Primitive</x:v>
      </x:c>
      <x:c r="C12" s="50" t="str">
        <x:v>Expected</x:v>
      </x:c>
      <x:c r="D12" s="50" t="str">
        <x:v>Expected reason</x:v>
      </x:c>
      <x:c r="E12" s="50" t="str">
        <x:v>Actual</x:v>
      </x:c>
      <x:c r="F12" s="50" t="str">
        <x:v>Distribution</x:v>
      </x:c>
      <x:c r="G12" s="50" t="str">
        <x:v>Confidence</x:v>
      </x:c>
      <x:c r="H12" s="50" t="str">
        <x:v>Assessment</x:v>
      </x:c>
      <x:c r="I12" s="50" t="str">
        <x:v>Failure mode</x:v>
      </x:c>
      <x:c r="J12" s="50" t="str">
        <x:v>Notes</x:v>
      </x:c>
    </x:row>
    <x:row r="13" ht="72" customHeight="1">
      <x:c r="A13" s="14" t="str">
        <x:v>should_track</x:v>
      </x:c>
      <x:c r="B13" s="14" t="str">
        <x:v>noul</x:v>
      </x:c>
      <x:c r="C13" s="14" t="str">
        <x:v>true</x:v>
      </x:c>
      <x:c r="D13" s="14" t="str">
        <x:v>A tentative material proposal can become a tracked change candidate if it is genuinely new.</x:v>
      </x:c>
      <x:c r="E13" s="14" t="str">
        <x:v>false</x:v>
      </x:c>
      <x:c r="F13" s="14" t="str">
        <x:v>true 46% | false 54%</x:v>
      </x:c>
      <x:c r="G13" s="14" t="str">
        <x:v>54%</x:v>
      </x:c>
      <x:c r="H13" s="14" t="str">
        <x:v>FALHA</x:v>
      </x:c>
      <x:c r="I13" s="14" t="str">
        <x:v>MISSED_TRACKABLE_PROPOSAL</x:v>
      </x:c>
      <x:c r="J13" s="14" t="str">
        <x:v>O resultado ficou do lado false por margem pequena. O contexto já mencionar alumínio torna este caso menos limpo.</x:v>
      </x:c>
    </x:row>
    <x:row r="14" ht="72" customHeight="1">
      <x:c r="A14" s="14" t="str">
        <x:v>event_type</x:v>
      </x:c>
      <x:c r="B14" s="14" t="str">
        <x:v>choice</x:v>
      </x:c>
      <x:c r="C14" s="14" t="str">
        <x:v>change_proposal</x:v>
      </x:c>
      <x:c r="D14" s="14" t="str">
        <x:v>The wording proposes using a material, even though the proposal is tentative.</x:v>
      </x:c>
      <x:c r="E14" s="14" t="str">
        <x:v>change_proposal</x:v>
      </x:c>
      <x:c r="F14" s="14" t="str">
        <x:v>change_proposal 87% | hypothesis 13% | all others 0%</x:v>
      </x:c>
      <x:c r="G14" s="14" t="str">
        <x:v>85%</x:v>
      </x:c>
      <x:c r="H14" s="14" t="str">
        <x:v>ALINHADO</x:v>
      </x:c>
      <x:c r="I14" s="14" t="str"/>
      <x:c r="J14" s="14" t="str"/>
    </x:row>
    <x:row r="15" ht="72" customHeight="1">
      <x:c r="A15" s="14" t="str">
        <x:v>test_is_proposed</x:v>
      </x:c>
      <x:c r="B15" s="14" t="str">
        <x:v>noul</x:v>
      </x:c>
      <x:c r="C15" s="14" t="str">
        <x:v>false</x:v>
      </x:c>
      <x:c r="D15" s="14" t="str">
        <x:v>No experiment, prototype, measurement, or comparison is proposed.</x:v>
      </x:c>
      <x:c r="E15" s="14" t="str">
        <x:v>false</x:v>
      </x:c>
      <x:c r="F15" s="14" t="str">
        <x:v>true 6% | false 94%</x:v>
      </x:c>
      <x:c r="G15" s="14" t="str">
        <x:v>94%</x:v>
      </x:c>
      <x:c r="H15" s="14" t="str">
        <x:v>ALINHADO</x:v>
      </x:c>
      <x:c r="I15" s="14" t="str"/>
      <x:c r="J15" s="14" t="str"/>
    </x:row>
    <x:row r="16" ht="72" customHeight="1">
      <x:c r="A16" s="14" t="str">
        <x:v>decision_is_final</x:v>
      </x:c>
      <x:c r="B16" s="14" t="str">
        <x:v>noul</x:v>
      </x:c>
      <x:c r="C16" s="14" t="str">
        <x:v>false</x:v>
      </x:c>
      <x:c r="D16" s="14" t="str">
        <x:v>Maybe we could is exploratory and does not commit the project to the change.</x:v>
      </x:c>
      <x:c r="E16" s="14" t="str">
        <x:v>false</x:v>
      </x:c>
      <x:c r="F16" s="14" t="str">
        <x:v>true 4% | false 96%</x:v>
      </x:c>
      <x:c r="G16" s="14" t="str">
        <x:v>96%</x:v>
      </x:c>
      <x:c r="H16" s="14" t="str">
        <x:v>ALINHADO</x:v>
      </x:c>
      <x:c r="I16" s="14" t="str"/>
      <x:c r="J16" s="14" t="str"/>
    </x:row>
    <x:row r="17" ht="72" customHeight="1">
      <x:c r="A17" s="14" t="str">
        <x:v>pending_decision</x:v>
      </x:c>
      <x:c r="B17" s="14" t="str">
        <x:v>noul</x:v>
      </x:c>
      <x:c r="C17" s="14" t="str">
        <x:v>false</x:v>
      </x:c>
      <x:c r="D17" s="14" t="str">
        <x:v>The utterance raises a possibility but does not explicitly establish a future decision process.</x:v>
      </x:c>
      <x:c r="E17" s="14" t="str">
        <x:v>true</x:v>
      </x:c>
      <x:c r="F17" s="14" t="str">
        <x:v>true 57% | false 43%</x:v>
      </x:c>
      <x:c r="G17" s="14" t="str">
        <x:v>57%</x:v>
      </x:c>
      <x:c r="H17" s="14" t="str">
        <x:v>AMBÍGUO</x:v>
      </x:c>
      <x:c r="I17" s="14" t="str">
        <x:v>BORDERLINE_PENDING_DECISION</x:v>
      </x:c>
      <x:c r="J17" s="14" t="str">
        <x:v>A frase pode ser lida como uma escolha ainda em aberto. A pergunta pending_decision precisa ser observada em mais casos.</x:v>
      </x:c>
    </x:row>
    <x:row r="18" ht="72" customHeight="1">
      <x:c r="A18" s="14" t="str">
        <x:v>creates_action_item</x:v>
      </x:c>
      <x:c r="B18" s="14" t="str">
        <x:v>noul</x:v>
      </x:c>
      <x:c r="C18" s="14" t="str">
        <x:v>false</x:v>
      </x:c>
      <x:c r="D18" s="14" t="str">
        <x:v>No concrete task is established.</x:v>
      </x:c>
      <x:c r="E18" s="14" t="str">
        <x:v>false</x:v>
      </x:c>
      <x:c r="F18" s="14" t="str">
        <x:v>true 18% | false 82%</x:v>
      </x:c>
      <x:c r="G18" s="14" t="str">
        <x:v>82%</x:v>
      </x:c>
      <x:c r="H18" s="14" t="str">
        <x:v>ALINHADO</x:v>
      </x:c>
      <x:c r="I18" s="14" t="str"/>
      <x:c r="J18" s="14" t="str"/>
    </x:row>
    <x:row r="19" ht="72" customHeight="1">
      <x:c r="A19" s="14" t="str">
        <x:v>next_step_commitment</x:v>
      </x:c>
      <x:c r="B19" s="14" t="str">
        <x:v>score</x:v>
      </x:c>
      <x:c r="C19" s="14" t="str">
        <x:v>1</x:v>
      </x:c>
      <x:c r="D19" s="14" t="str">
        <x:v>A possible next step is only being considered.</x:v>
      </x:c>
      <x:c r="E19" s="14" t="str">
        <x:v>0.79</x:v>
      </x:c>
      <x:c r="F19" s="14" t="str">
        <x:v>L0 22% | L1 77% | L2 1% | L3 0%</x:v>
      </x:c>
      <x:c r="G19" s="14" t="str">
        <x:v>78%</x:v>
      </x:c>
      <x:c r="H19" s="14" t="str">
        <x:v>ALINHADO</x:v>
      </x:c>
      <x:c r="I19" s="14" t="str"/>
      <x:c r="J19" s="14" t="str"/>
    </x:row>
    <x:row r="20" ht="72" customHeight="1">
      <x:c r="A20" s="14" t="str">
        <x:v>change_commitment</x:v>
      </x:c>
      <x:c r="B20" s="14" t="str">
        <x:v>score</x:v>
      </x:c>
      <x:c r="C20" s="14" t="str">
        <x:v>1</x:v>
      </x:c>
      <x:c r="D20" s="14" t="str">
        <x:v>The material change is only being explored.</x:v>
      </x:c>
      <x:c r="E20" s="14" t="str">
        <x:v>0.94</x:v>
      </x:c>
      <x:c r="F20" s="14" t="str">
        <x:v>L0 9% | L1 88% | L2 3% | L3 0%</x:v>
      </x:c>
      <x:c r="G20" s="14" t="str">
        <x:v>88%</x:v>
      </x:c>
      <x:c r="H20" s="14" t="str">
        <x:v>ALINHADO</x:v>
      </x:c>
      <x:c r="I20" s="14" t="str"/>
      <x:c r="J20" s="14" t="str"/>
    </x:row>
    <x:row r="21" ht="72" customHeight="1">
      <x:c r="A21" s="14" t="str">
        <x:v>project_impact</x:v>
      </x:c>
      <x:c r="B21" s="14" t="str">
        <x:v>score</x:v>
      </x:c>
      <x:c r="C21" s="14" t="str">
        <x:v>2</x:v>
      </x:c>
      <x:c r="D21" s="14" t="str">
        <x:v>If a genuine material change were pursued, it would affect a component and a near-term engineering decision.</x:v>
      </x:c>
      <x:c r="E21" s="14" t="str">
        <x:v>1.21</x:v>
      </x:c>
      <x:c r="F21" s="14" t="str">
        <x:v>L0 31% | L1 21% | L2 44% | L3 4%</x:v>
      </x:c>
      <x:c r="G21" s="14" t="str">
        <x:v>14%</x:v>
      </x:c>
      <x:c r="H21" s="14" t="str">
        <x:v>FALHA</x:v>
      </x:c>
      <x:c r="I21" s="14" t="str">
        <x:v>LOW_CONFIDENCE_UNDERESTIMATED_IMPACT</x:v>
      </x:c>
      <x:c r="J21" s="14" t="str">
        <x:v>A distribuição ficou muito espalhada e o score caiu para 1.21. O próprio Jev indicou confidence de apenas 14%.</x:v>
      </x:c>
    </x:row>
    <x:row r="22" ht="72" customHeight="1">
      <x:c r="A22" s="14" t="str">
        <x:v>primary_affected_area</x:v>
      </x:c>
      <x:c r="B22" s="14" t="str">
        <x:v>choice</x:v>
      </x:c>
      <x:c r="C22" s="14" t="str">
        <x:v>material</x:v>
      </x:c>
      <x:c r="D22" s="14" t="str">
        <x:v>The utterance is specifically about material selection.</x:v>
      </x:c>
      <x:c r="E22" s="14" t="str">
        <x:v>material</x:v>
      </x:c>
      <x:c r="F22" s="14" t="str">
        <x:v>material 100% | all others 0%</x:v>
      </x:c>
      <x:c r="G22" s="14" t="str">
        <x:v>99%</x:v>
      </x:c>
      <x:c r="H22" s="14" t="str">
        <x:v>ALINHADO</x:v>
      </x:c>
      <x:c r="I22" s="14" t="str"/>
      <x:c r="J22" s="14" t="str"/>
    </x:row>
    <x:row r="23" ht="72" customHeight="1">
      <x:c r="A23" s="14" t="str">
        <x:v>requires_followup</x:v>
      </x:c>
      <x:c r="B23" s="14" t="str">
        <x:v>noul</x:v>
      </x:c>
      <x:c r="C23" s="14" t="str">
        <x:v>true</x:v>
      </x:c>
      <x:c r="D23" s="14" t="str">
        <x:v>A genuine proposed material change should be revisited before it is accepted or rejected.</x:v>
      </x:c>
      <x:c r="E23" s="14" t="str">
        <x:v>true</x:v>
      </x:c>
      <x:c r="F23" s="14" t="str">
        <x:v>true 74% | false 26%</x:v>
      </x:c>
      <x:c r="G23" s="14" t="str">
        <x:v>74%</x:v>
      </x:c>
      <x:c r="H23" s="14" t="str">
        <x:v>ALINHADO</x:v>
      </x:c>
      <x:c r="I23" s="14" t="str"/>
      <x:c r="J23" s="14" t="str"/>
    </x:row>
    <x:row r="25">
      <x:c r="A25" s="46" t="str">
        <x:v>Case notes</x:v>
      </x:c>
      <x:c r="B25" s="46"/>
      <x:c r="C25" s="46"/>
      <x:c r="D25" s="46"/>
      <x:c r="E25" s="46"/>
      <x:c r="F25" s="46"/>
      <x:c r="G25" s="46"/>
      <x:c r="H25" s="46"/>
      <x:c r="I25" s="46"/>
      <x:c r="J25" s="46"/>
    </x:row>
    <x:row r="26">
      <x:c r="A26" s="14" t="str">
        <x:v>O state é parcialmente ambíguo porque o contexto já diz que a peça atual é de alumínio. Isso deve ser lembrado ao interpretar should_track e impacto.</x:v>
      </x:c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8">
      <x:c r="A28" s="46" t="str">
        <x:v>Question</x:v>
      </x:c>
      <x:c r="B28" s="46" t="str">
        <x:v>Primitive</x:v>
      </x:c>
      <x:c r="C28" s="46" t="str">
        <x:v>Instruction</x:v>
      </x:c>
      <x:c r="D28" s="46" t="str">
        <x:v>Criteria</x:v>
      </x:c>
    </x:row>
    <x:row r="29" ht="95" customHeight="1">
      <x:c r="A29" s="14" t="str">
        <x:v>should_track</x:v>
      </x:c>
      <x:c r="B29" s="14" t="str">
        <x:v>noul</x:v>
      </x:c>
      <x:c r="C29" s="14" t="str">
        <x:v>Should the current utterance create a new tracked project item or update an existing tracked item?</x:v>
      </x:c>
      <x:c r="D29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</x:row>
    <x:row r="30" ht="95" customHeight="1">
      <x:c r="A30" s="14" t="str">
        <x:v>event_type</x:v>
      </x:c>
      <x:c r="B30" s="14" t="str">
        <x:v>choice</x:v>
      </x:c>
      <x:c r="C30" s="14" t="str">
        <x:v>Classify the primary project event expressed in the current utterance.</x:v>
      </x:c>
      <x:c r="D30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</x:row>
    <x:row r="31" ht="95" customHeight="1">
      <x:c r="A31" s="14" t="str">
        <x:v>test_is_proposed</x:v>
      </x:c>
      <x:c r="B31" s="14" t="str">
        <x:v>noul</x:v>
      </x:c>
      <x:c r="C31" s="14" t="str">
        <x:v>Does the current utterance explicitly propose performing a test, experiment, prototype, trial, measurement, validation, or comparison?</x:v>
      </x:c>
      <x:c r="D31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</x:row>
    <x:row r="32" ht="95" customHeight="1">
      <x:c r="A32" s="14" t="str">
        <x:v>decision_is_final</x:v>
      </x:c>
      <x:c r="B32" s="14" t="str">
        <x:v>noul</x:v>
      </x:c>
      <x:c r="C32" s="14" t="str">
        <x:v>Does the current utterance commit the project to a choice or change now, without waiting for a future test, condition, approval, or unresolved decision?</x:v>
      </x:c>
      <x:c r="D32" s="14" t="str">
        <x:v>TRUE: The choice or change should be treated as decided and active now. FALSE: It is exploratory, conditional, proposed, waiting on evidence or approval, or no decision is present.</x:v>
      </x:c>
    </x:row>
    <x:row r="33" ht="95" customHeight="1">
      <x:c r="A33" s="14" t="str">
        <x:v>pending_decision</x:v>
      </x:c>
      <x:c r="B33" s="14" t="str">
        <x:v>noul</x:v>
      </x:c>
      <x:c r="C33" s="14" t="str">
        <x:v>Does the current utterance establish that a specific project decision is still unresolved and must be made later?</x:v>
      </x:c>
      <x:c r="D33" s="14" t="str">
        <x:v>TRUE: A specific future decision remains open and may depend on a test, evidence, approval, or another condition. FALSE: No future decision is established, or the relevant decision is already final.</x:v>
      </x:c>
    </x:row>
    <x:row r="34" ht="95" customHeight="1">
      <x:c r="A34" s="14" t="str">
        <x:v>creates_action_item</x:v>
      </x:c>
      <x:c r="B34" s="14" t="str">
        <x:v>noul</x:v>
      </x:c>
      <x:c r="C34" s="14" t="str">
        <x:v>Does the current utterance establish a concrete task or next action that someone should perform?</x:v>
      </x:c>
      <x:c r="D34" s="14" t="str">
        <x:v>TRUE: A specific activity should be performed, even if no person or deadline is explicitly assigned. FALSE: The utterance only discusses, observes, hypothesizes, or evaluates something without establishing a concrete action.</x:v>
      </x:c>
    </x:row>
    <x:row r="35" ht="95" customHeight="1">
      <x:c r="A35" s="14" t="str">
        <x:v>next_step_commitment</x:v>
      </x:c>
      <x:c r="B35" s="14" t="str">
        <x:v>score</x:v>
      </x:c>
      <x:c r="C35" s="14" t="str">
        <x:v>How strongly does the current utterance commit the team to performing the stated next step?</x:v>
      </x:c>
      <x:c r="D35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</x:row>
    <x:row r="36" ht="95" customHeight="1">
      <x:c r="A36" s="14" t="str">
        <x:v>change_commitment</x:v>
      </x:c>
      <x:c r="B36" s="14" t="str">
        <x:v>score</x:v>
      </x:c>
      <x:c r="C36" s="14" t="str">
        <x:v>How committed is the project to the underlying project change itself, excluding commitment to testing or discussing it?</x:v>
      </x:c>
      <x:c r="D36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</x:row>
    <x:row r="37" ht="95" customHeight="1">
      <x:c r="A37" s="14" t="str">
        <x:v>project_impact</x:v>
      </x:c>
      <x:c r="B37" s="14" t="str">
        <x:v>score</x:v>
      </x:c>
      <x:c r="C37" s="14" t="str">
        <x:v>Assuming the event described in the current utterance proceeds or is valid, how broad would its impact on the project be?</x:v>
      </x:c>
      <x:c r="D37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</x:row>
    <x:row r="38" ht="95" customHeight="1">
      <x:c r="A38" s="14" t="str">
        <x:v>primary_affected_area</x:v>
      </x:c>
      <x:c r="B38" s="14" t="str">
        <x:v>choice</x:v>
      </x:c>
      <x:c r="C38" s="14" t="str">
        <x:v>Which project area is most directly affected by the current utterance?</x:v>
      </x:c>
      <x:c r="D38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</x:row>
    <x:row r="39" ht="95" customHeight="1">
      <x:c r="A39" s="14" t="str">
        <x:v>requires_followup</x:v>
      </x:c>
      <x:c r="B39" s="14" t="str">
        <x:v>noul</x:v>
      </x:c>
      <x:c r="C39" s="14" t="str">
        <x:v>Does the current utterance create or update something whose outcome should be checked again later?</x:v>
      </x:c>
      <x:c r="D39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</x:row>
  </x:sheetData>
  <x:mergeCells>
    <x:mergeCell ref="A1:J1"/>
    <x:mergeCell ref="D3:J3"/>
    <x:mergeCell ref="D4:J7"/>
    <x:mergeCell ref="A8:J8"/>
    <x:mergeCell ref="A9:J10"/>
    <x:mergeCell ref="A25:J25"/>
    <x:mergeCell ref="A26:J26"/>
  </x:mergeCells>
  <x:conditionalFormatting sqref="H13:H23">
    <x:cfRule type="expression" dxfId="22" priority="1">
      <x:formula>H13="ALINHADO"</x:formula>
    </x:cfRule>
    <x:cfRule type="expression" dxfId="23" priority="2">
      <x:formula>H13="FALHA"</x:formula>
    </x:cfRule>
    <x:cfRule type="expression" dxfId="24" priority="3">
      <x:formula>H13="AMBÍGUO"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46" hidden="0" customWidth="1"/>
    <x:col min="5" max="5" width="18" hidden="0" customWidth="1"/>
    <x:col min="6" max="6" width="46" hidden="0" customWidth="1"/>
    <x:col min="7" max="7" width="14" hidden="0" customWidth="1"/>
    <x:col min="8" max="8" width="15" hidden="0" customWidth="1"/>
    <x:col min="9" max="9" width="28" hidden="0" customWidth="1"/>
    <x:col min="10" max="10" width="44" hidden="0" customWidth="1"/>
  </x:cols>
  <x:sheetData>
    <x:row r="1" ht="30" customHeight="1">
      <x:c r="A1" s="43" t="str">
        <x:v>JEV-003-003 ·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>
      <x:c r="A3" s="46" t="str">
        <x:v>Model</x:v>
      </x:c>
      <x:c r="B3" t="str">
        <x:v>jev-latest</x:v>
      </x:c>
      <x:c r="D3" s="46" t="str">
        <x:v>Recent context</x:v>
      </x:c>
      <x:c r="E3" s="46"/>
      <x:c r="F3" s="46"/>
      <x:c r="G3" s="46"/>
      <x:c r="H3" s="46"/>
      <x:c r="I3" s="46"/>
      <x:c r="J3" s="46"/>
    </x:row>
    <x:row r="4">
      <x:c r="A4" s="46" t="str">
        <x:v>Question version</x:v>
      </x:c>
      <x:c r="B4" t="str">
        <x:v>v2</x:v>
      </x:c>
      <x:c r="D4" s="14" t="str">
        <x:v>Speaker A: We have been seeing too much deformation around this bracket.
Speaker B: The current part is 3 mm aluminum.
Speaker A: We haven't tested another thickness yet.</x:v>
      </x:c>
      <x:c r="E4" s="14"/>
      <x:c r="F4" s="14"/>
      <x:c r="G4" s="14"/>
      <x:c r="H4" s="14"/>
      <x:c r="I4" s="14"/>
      <x:c r="J4" s="14"/>
    </x:row>
    <x:row r="5">
      <x:c r="A5" s="46" t="str">
        <x:v>Overall status</x:v>
      </x:c>
      <x:c r="B5" t="str">
        <x:v>FALHA</x:v>
      </x:c>
      <x:c r="D5" s="14"/>
      <x:c r="E5" s="14"/>
      <x:c r="F5" s="14"/>
      <x:c r="G5" s="14"/>
      <x:c r="H5" s="14"/>
      <x:c r="I5" s="14"/>
      <x:c r="J5" s="14"/>
    </x:row>
    <x:row r="6">
      <x:c r="A6" s="46" t="str">
        <x:v>State ID</x:v>
      </x:c>
      <x:c r="B6" t="str">
        <x:v>JEV-003-003</x:v>
      </x:c>
      <x:c r="D6" s="14"/>
      <x:c r="E6" s="14"/>
      <x:c r="F6" s="14"/>
      <x:c r="G6" s="14"/>
      <x:c r="H6" s="14"/>
      <x:c r="I6" s="14"/>
      <x:c r="J6" s="14"/>
    </x:row>
    <x:row r="7">
      <x:c r="D7" s="14"/>
      <x:c r="E7" s="14"/>
      <x:c r="F7" s="14"/>
      <x:c r="G7" s="14"/>
      <x:c r="H7" s="14"/>
      <x:c r="I7" s="14"/>
      <x:c r="J7" s="14"/>
    </x:row>
    <x:row r="8">
      <x:c r="A8" s="46" t="str">
        <x:v>Current utterance</x:v>
      </x:c>
      <x:c r="B8" s="46"/>
      <x:c r="C8" s="46"/>
      <x:c r="D8" s="46"/>
      <x:c r="E8" s="46"/>
      <x:c r="F8" s="46"/>
      <x:c r="G8" s="46"/>
      <x:c r="H8" s="46"/>
      <x:c r="I8" s="46"/>
      <x:c r="J8" s="46"/>
    </x:row>
    <x:row r="9">
      <x:c r="A9" s="14" t="str">
        <x:v>Speaker C: We should investigate whether aluminum works.</x:v>
      </x:c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2">
      <x:c r="A12" s="50" t="str">
        <x:v>Question</x:v>
      </x:c>
      <x:c r="B12" s="50" t="str">
        <x:v>Primitive</x:v>
      </x:c>
      <x:c r="C12" s="50" t="str">
        <x:v>Expected</x:v>
      </x:c>
      <x:c r="D12" s="50" t="str">
        <x:v>Expected reason</x:v>
      </x:c>
      <x:c r="E12" s="50" t="str">
        <x:v>Actual</x:v>
      </x:c>
      <x:c r="F12" s="50" t="str">
        <x:v>Distribution</x:v>
      </x:c>
      <x:c r="G12" s="50" t="str">
        <x:v>Confidence</x:v>
      </x:c>
      <x:c r="H12" s="50" t="str">
        <x:v>Assessment</x:v>
      </x:c>
      <x:c r="I12" s="50" t="str">
        <x:v>Failure mode</x:v>
      </x:c>
      <x:c r="J12" s="50" t="str">
        <x:v>Notes</x:v>
      </x:c>
    </x:row>
    <x:row r="13" ht="72" customHeight="1">
      <x:c r="A13" s="14" t="str">
        <x:v>should_track</x:v>
      </x:c>
      <x:c r="B13" s="14" t="str">
        <x:v>noul</x:v>
      </x:c>
      <x:c r="C13" s="14" t="str">
        <x:v>true</x:v>
      </x:c>
      <x:c r="D13" s="14" t="str">
        <x:v>The investigation creates an item whose outcome matters later.</x:v>
      </x:c>
      <x:c r="E13" s="14" t="str">
        <x:v>true</x:v>
      </x:c>
      <x:c r="F13" s="14" t="str">
        <x:v>true 79% | false 21%</x:v>
      </x:c>
      <x:c r="G13" s="14" t="str">
        <x:v>79%</x:v>
      </x:c>
      <x:c r="H13" s="14" t="str">
        <x:v>ALINHADO</x:v>
      </x:c>
      <x:c r="I13" s="14" t="str"/>
      <x:c r="J13" s="14" t="str"/>
    </x:row>
    <x:row r="14" ht="72" customHeight="1">
      <x:c r="A14" s="14" t="str">
        <x:v>event_type</x:v>
      </x:c>
      <x:c r="B14" s="14" t="str">
        <x:v>choice</x:v>
      </x:c>
      <x:c r="C14" s="14" t="str">
        <x:v>test_proposal</x:v>
      </x:c>
      <x:c r="D14" s="14" t="str">
        <x:v>Investigating whether the material works is primarily a validation activity.</x:v>
      </x:c>
      <x:c r="E14" s="14" t="str">
        <x:v>test_proposal</x:v>
      </x:c>
      <x:c r="F14" s="14" t="str">
        <x:v>test_proposal 85% | action_item 13% | change_proposal 1% | hypothesis 1% | all others 0%</x:v>
      </x:c>
      <x:c r="G14" s="14" t="str">
        <x:v>84%</x:v>
      </x:c>
      <x:c r="H14" s="14" t="str">
        <x:v>ALINHADO</x:v>
      </x:c>
      <x:c r="I14" s="14" t="str"/>
      <x:c r="J14" s="14" t="str"/>
    </x:row>
    <x:row r="15" ht="72" customHeight="1">
      <x:c r="A15" s="14" t="str">
        <x:v>test_is_proposed</x:v>
      </x:c>
      <x:c r="B15" s="14" t="str">
        <x:v>noul</x:v>
      </x:c>
      <x:c r="C15" s="14" t="str">
        <x:v>true</x:v>
      </x:c>
      <x:c r="D15" s="14" t="str">
        <x:v>The speaker proposes an investigation intended to determine whether the material works.</x:v>
      </x:c>
      <x:c r="E15" s="14" t="str">
        <x:v>true</x:v>
      </x:c>
      <x:c r="F15" s="14" t="str">
        <x:v>true 60% | false 40%</x:v>
      </x:c>
      <x:c r="G15" s="14" t="str">
        <x:v>60%</x:v>
      </x:c>
      <x:c r="H15" s="14" t="str">
        <x:v>ALINHADO</x:v>
      </x:c>
      <x:c r="I15" s="14" t="str">
        <x:v>LOW_MARGIN</x:v>
      </x:c>
      <x:c r="J15" s="14" t="str">
        <x:v>Correto, mas com margem baixa.</x:v>
      </x:c>
    </x:row>
    <x:row r="16" ht="72" customHeight="1">
      <x:c r="A16" s="14" t="str">
        <x:v>decision_is_final</x:v>
      </x:c>
      <x:c r="B16" s="14" t="str">
        <x:v>noul</x:v>
      </x:c>
      <x:c r="C16" s="14" t="str">
        <x:v>false</x:v>
      </x:c>
      <x:c r="D16" s="14" t="str">
        <x:v>The statement asks for investigation rather than committing to a change.</x:v>
      </x:c>
      <x:c r="E16" s="14" t="str">
        <x:v>false</x:v>
      </x:c>
      <x:c r="F16" s="14" t="str">
        <x:v>true 5% | false 95%</x:v>
      </x:c>
      <x:c r="G16" s="14" t="str">
        <x:v>95%</x:v>
      </x:c>
      <x:c r="H16" s="14" t="str">
        <x:v>ALINHADO</x:v>
      </x:c>
      <x:c r="I16" s="14" t="str"/>
      <x:c r="J16" s="14" t="str"/>
    </x:row>
    <x:row r="17" ht="72" customHeight="1">
      <x:c r="A17" s="14" t="str">
        <x:v>pending_decision</x:v>
      </x:c>
      <x:c r="B17" s="14" t="str">
        <x:v>noul</x:v>
      </x:c>
      <x:c r="C17" s="14" t="str">
        <x:v>false</x:v>
      </x:c>
      <x:c r="D17" s="14" t="str">
        <x:v>An unresolved technical question is present, but no specific project decision is explicitly established.</x:v>
      </x:c>
      <x:c r="E17" s="14" t="str">
        <x:v>true</x:v>
      </x:c>
      <x:c r="F17" s="14" t="str">
        <x:v>true 82% | false 18%</x:v>
      </x:c>
      <x:c r="G17" s="14" t="str">
        <x:v>82%</x:v>
      </x:c>
      <x:c r="H17" s="14" t="str">
        <x:v>FALHA</x:v>
      </x:c>
      <x:c r="I17" s="14" t="str">
        <x:v>OVERINFERRED_PENDING_DECISION</x:v>
      </x:c>
      <x:c r="J17" s="14" t="str">
        <x:v>O modelo transformou uma investigação aberta em uma decisão futura específica.</x:v>
      </x:c>
    </x:row>
    <x:row r="18" ht="72" customHeight="1">
      <x:c r="A18" s="14" t="str">
        <x:v>creates_action_item</x:v>
      </x:c>
      <x:c r="B18" s="14" t="str">
        <x:v>noul</x:v>
      </x:c>
      <x:c r="C18" s="14" t="str">
        <x:v>true</x:v>
      </x:c>
      <x:c r="D18" s="14" t="str">
        <x:v>Investigate whether aluminum works is a concrete next action.</x:v>
      </x:c>
      <x:c r="E18" s="14" t="str">
        <x:v>true</x:v>
      </x:c>
      <x:c r="F18" s="14" t="str">
        <x:v>true 81% | false 19%</x:v>
      </x:c>
      <x:c r="G18" s="14" t="str">
        <x:v>81%</x:v>
      </x:c>
      <x:c r="H18" s="14" t="str">
        <x:v>ALINHADO</x:v>
      </x:c>
      <x:c r="I18" s="14" t="str"/>
      <x:c r="J18" s="14" t="str"/>
    </x:row>
    <x:row r="19" ht="72" customHeight="1">
      <x:c r="A19" s="14" t="str">
        <x:v>next_step_commitment</x:v>
      </x:c>
      <x:c r="B19" s="14" t="str">
        <x:v>score</x:v>
      </x:c>
      <x:c r="C19" s="14" t="str">
        <x:v>2</x:v>
      </x:c>
      <x:c r="D19" s="14" t="str">
        <x:v>A concrete investigation is proposed, but no explicit assignment or schedule is given.</x:v>
      </x:c>
      <x:c r="E19" s="14" t="str">
        <x:v>1.92</x:v>
      </x:c>
      <x:c r="F19" s="14" t="str">
        <x:v>L0 0% | L1 8% | L2 92% | L3 0%</x:v>
      </x:c>
      <x:c r="G19" s="14" t="str">
        <x:v>91%</x:v>
      </x:c>
      <x:c r="H19" s="14" t="str">
        <x:v>ALINHADO</x:v>
      </x:c>
      <x:c r="I19" s="14" t="str"/>
      <x:c r="J19" s="14" t="str"/>
    </x:row>
    <x:row r="20" ht="72" customHeight="1">
      <x:c r="A20" s="14" t="str">
        <x:v>change_commitment</x:v>
      </x:c>
      <x:c r="B20" s="14" t="str">
        <x:v>score</x:v>
      </x:c>
      <x:c r="C20" s="14" t="str">
        <x:v>1</x:v>
      </x:c>
      <x:c r="D20" s="14" t="str">
        <x:v>The underlying change is only being explored.</x:v>
      </x:c>
      <x:c r="E20" s="14" t="str">
        <x:v>0.95</x:v>
      </x:c>
      <x:c r="F20" s="14" t="str">
        <x:v>L0 7% | L1 91% | L2 2% | L3 0%</x:v>
      </x:c>
      <x:c r="G20" s="14" t="str">
        <x:v>90%</x:v>
      </x:c>
      <x:c r="H20" s="14" t="str">
        <x:v>ALINHADO</x:v>
      </x:c>
      <x:c r="I20" s="14" t="str"/>
      <x:c r="J20" s="14" t="str"/>
    </x:row>
    <x:row r="21" ht="72" customHeight="1">
      <x:c r="A21" s="14" t="str">
        <x:v>project_impact</x:v>
      </x:c>
      <x:c r="B21" s="14" t="str">
        <x:v>score</x:v>
      </x:c>
      <x:c r="C21" s="14" t="str">
        <x:v>2</x:v>
      </x:c>
      <x:c r="D21" s="14" t="str">
        <x:v>The investigation could affect a component and a near-term engineering decision.</x:v>
      </x:c>
      <x:c r="E21" s="14" t="str">
        <x:v>2.00</x:v>
      </x:c>
      <x:c r="F21" s="14" t="str">
        <x:v>L0 1% | L1 2% | L2 95% | L3 2%</x:v>
      </x:c>
      <x:c r="G21" s="14" t="str">
        <x:v>95%</x:v>
      </x:c>
      <x:c r="H21" s="14" t="str">
        <x:v>ALINHADO</x:v>
      </x:c>
      <x:c r="I21" s="14" t="str"/>
      <x:c r="J21" s="14" t="str"/>
    </x:row>
    <x:row r="22" ht="72" customHeight="1">
      <x:c r="A22" s="14" t="str">
        <x:v>primary_affected_area</x:v>
      </x:c>
      <x:c r="B22" s="14" t="str">
        <x:v>choice</x:v>
      </x:c>
      <x:c r="C22" s="14" t="str">
        <x:v>material</x:v>
      </x:c>
      <x:c r="D22" s="14" t="str">
        <x:v>The investigation is directly about whether the material works.</x:v>
      </x:c>
      <x:c r="E22" s="14" t="str">
        <x:v>material</x:v>
      </x:c>
      <x:c r="F22" s="14" t="str">
        <x:v>material 99% | performance 1% | all others 0%</x:v>
      </x:c>
      <x:c r="G22" s="14" t="str">
        <x:v>99%</x:v>
      </x:c>
      <x:c r="H22" s="14" t="str">
        <x:v>ALINHADO</x:v>
      </x:c>
      <x:c r="I22" s="14" t="str"/>
      <x:c r="J22" s="14" t="str"/>
    </x:row>
    <x:row r="23" ht="72" customHeight="1">
      <x:c r="A23" s="14" t="str">
        <x:v>requires_followup</x:v>
      </x:c>
      <x:c r="B23" s="14" t="str">
        <x:v>noul</x:v>
      </x:c>
      <x:c r="C23" s="14" t="str">
        <x:v>true</x:v>
      </x:c>
      <x:c r="D23" s="14" t="str">
        <x:v>The investigation result must be revisited later.</x:v>
      </x:c>
      <x:c r="E23" s="14" t="str">
        <x:v>true</x:v>
      </x:c>
      <x:c r="F23" s="14" t="str">
        <x:v>true 87% | false 13%</x:v>
      </x:c>
      <x:c r="G23" s="14" t="str">
        <x:v>87%</x:v>
      </x:c>
      <x:c r="H23" s="14" t="str">
        <x:v>ALINHADO</x:v>
      </x:c>
      <x:c r="I23" s="14" t="str"/>
      <x:c r="J23" s="14" t="str"/>
    </x:row>
    <x:row r="25">
      <x:c r="A25" s="46" t="str">
        <x:v>Case notes</x:v>
      </x:c>
      <x:c r="B25" s="46"/>
      <x:c r="C25" s="46"/>
      <x:c r="D25" s="46"/>
      <x:c r="E25" s="46"/>
      <x:c r="F25" s="46"/>
      <x:c r="G25" s="46"/>
      <x:c r="H25" s="46"/>
      <x:c r="I25" s="46"/>
      <x:c r="J25" s="46"/>
    </x:row>
    <x:row r="26">
      <x:c r="A26" s="14" t="str">
        <x:v>A principal falha foi pending_decision, que inferiu uma decisão futura mesmo sem uma decisão específica ser mencionada.</x:v>
      </x:c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8">
      <x:c r="A28" s="46" t="str">
        <x:v>Question</x:v>
      </x:c>
      <x:c r="B28" s="46" t="str">
        <x:v>Primitive</x:v>
      </x:c>
      <x:c r="C28" s="46" t="str">
        <x:v>Instruction</x:v>
      </x:c>
      <x:c r="D28" s="46" t="str">
        <x:v>Criteria</x:v>
      </x:c>
    </x:row>
    <x:row r="29" ht="95" customHeight="1">
      <x:c r="A29" s="14" t="str">
        <x:v>should_track</x:v>
      </x:c>
      <x:c r="B29" s="14" t="str">
        <x:v>noul</x:v>
      </x:c>
      <x:c r="C29" s="14" t="str">
        <x:v>Should the current utterance create a new tracked project item or update an existing tracked item?</x:v>
      </x:c>
      <x:c r="D29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</x:row>
    <x:row r="30" ht="95" customHeight="1">
      <x:c r="A30" s="14" t="str">
        <x:v>event_type</x:v>
      </x:c>
      <x:c r="B30" s="14" t="str">
        <x:v>choice</x:v>
      </x:c>
      <x:c r="C30" s="14" t="str">
        <x:v>Classify the primary project event expressed in the current utterance.</x:v>
      </x:c>
      <x:c r="D30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</x:row>
    <x:row r="31" ht="95" customHeight="1">
      <x:c r="A31" s="14" t="str">
        <x:v>test_is_proposed</x:v>
      </x:c>
      <x:c r="B31" s="14" t="str">
        <x:v>noul</x:v>
      </x:c>
      <x:c r="C31" s="14" t="str">
        <x:v>Does the current utterance explicitly propose performing a test, experiment, prototype, trial, measurement, validation, or comparison?</x:v>
      </x:c>
      <x:c r="D31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</x:row>
    <x:row r="32" ht="95" customHeight="1">
      <x:c r="A32" s="14" t="str">
        <x:v>decision_is_final</x:v>
      </x:c>
      <x:c r="B32" s="14" t="str">
        <x:v>noul</x:v>
      </x:c>
      <x:c r="C32" s="14" t="str">
        <x:v>Does the current utterance commit the project to a choice or change now, without waiting for a future test, condition, approval, or unresolved decision?</x:v>
      </x:c>
      <x:c r="D32" s="14" t="str">
        <x:v>TRUE: The choice or change should be treated as decided and active now. FALSE: It is exploratory, conditional, proposed, waiting on evidence or approval, or no decision is present.</x:v>
      </x:c>
    </x:row>
    <x:row r="33" ht="95" customHeight="1">
      <x:c r="A33" s="14" t="str">
        <x:v>pending_decision</x:v>
      </x:c>
      <x:c r="B33" s="14" t="str">
        <x:v>noul</x:v>
      </x:c>
      <x:c r="C33" s="14" t="str">
        <x:v>Does the current utterance establish that a specific project decision is still unresolved and must be made later?</x:v>
      </x:c>
      <x:c r="D33" s="14" t="str">
        <x:v>TRUE: A specific future decision remains open and may depend on a test, evidence, approval, or another condition. FALSE: No future decision is established, or the relevant decision is already final.</x:v>
      </x:c>
    </x:row>
    <x:row r="34" ht="95" customHeight="1">
      <x:c r="A34" s="14" t="str">
        <x:v>creates_action_item</x:v>
      </x:c>
      <x:c r="B34" s="14" t="str">
        <x:v>noul</x:v>
      </x:c>
      <x:c r="C34" s="14" t="str">
        <x:v>Does the current utterance establish a concrete task or next action that someone should perform?</x:v>
      </x:c>
      <x:c r="D34" s="14" t="str">
        <x:v>TRUE: A specific activity should be performed, even if no person or deadline is explicitly assigned. FALSE: The utterance only discusses, observes, hypothesizes, or evaluates something without establishing a concrete action.</x:v>
      </x:c>
    </x:row>
    <x:row r="35" ht="95" customHeight="1">
      <x:c r="A35" s="14" t="str">
        <x:v>next_step_commitment</x:v>
      </x:c>
      <x:c r="B35" s="14" t="str">
        <x:v>score</x:v>
      </x:c>
      <x:c r="C35" s="14" t="str">
        <x:v>How strongly does the current utterance commit the team to performing the stated next step?</x:v>
      </x:c>
      <x:c r="D35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</x:row>
    <x:row r="36" ht="95" customHeight="1">
      <x:c r="A36" s="14" t="str">
        <x:v>change_commitment</x:v>
      </x:c>
      <x:c r="B36" s="14" t="str">
        <x:v>score</x:v>
      </x:c>
      <x:c r="C36" s="14" t="str">
        <x:v>How committed is the project to the underlying project change itself, excluding commitment to testing or discussing it?</x:v>
      </x:c>
      <x:c r="D36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</x:row>
    <x:row r="37" ht="95" customHeight="1">
      <x:c r="A37" s="14" t="str">
        <x:v>project_impact</x:v>
      </x:c>
      <x:c r="B37" s="14" t="str">
        <x:v>score</x:v>
      </x:c>
      <x:c r="C37" s="14" t="str">
        <x:v>Assuming the event described in the current utterance proceeds or is valid, how broad would its impact on the project be?</x:v>
      </x:c>
      <x:c r="D37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</x:row>
    <x:row r="38" ht="95" customHeight="1">
      <x:c r="A38" s="14" t="str">
        <x:v>primary_affected_area</x:v>
      </x:c>
      <x:c r="B38" s="14" t="str">
        <x:v>choice</x:v>
      </x:c>
      <x:c r="C38" s="14" t="str">
        <x:v>Which project area is most directly affected by the current utterance?</x:v>
      </x:c>
      <x:c r="D38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</x:row>
    <x:row r="39" ht="95" customHeight="1">
      <x:c r="A39" s="14" t="str">
        <x:v>requires_followup</x:v>
      </x:c>
      <x:c r="B39" s="14" t="str">
        <x:v>noul</x:v>
      </x:c>
      <x:c r="C39" s="14" t="str">
        <x:v>Does the current utterance create or update something whose outcome should be checked again later?</x:v>
      </x:c>
      <x:c r="D39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</x:row>
  </x:sheetData>
  <x:mergeCells>
    <x:mergeCell ref="A1:J1"/>
    <x:mergeCell ref="D3:J3"/>
    <x:mergeCell ref="D4:J7"/>
    <x:mergeCell ref="A8:J8"/>
    <x:mergeCell ref="A9:J10"/>
    <x:mergeCell ref="A25:J25"/>
    <x:mergeCell ref="A26:J26"/>
  </x:mergeCells>
  <x:conditionalFormatting sqref="H13:H23">
    <x:cfRule type="expression" dxfId="25" priority="1">
      <x:formula>H13="ALINHADO"</x:formula>
    </x:cfRule>
    <x:cfRule type="expression" dxfId="26" priority="2">
      <x:formula>H13="FALHA"</x:formula>
    </x:cfRule>
    <x:cfRule type="expression" dxfId="27" priority="3">
      <x:formula>H13="AMBÍGUO"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46" hidden="0" customWidth="1"/>
    <x:col min="5" max="5" width="18" hidden="0" customWidth="1"/>
    <x:col min="6" max="6" width="46" hidden="0" customWidth="1"/>
    <x:col min="7" max="7" width="14" hidden="0" customWidth="1"/>
    <x:col min="8" max="8" width="15" hidden="0" customWidth="1"/>
    <x:col min="9" max="9" width="28" hidden="0" customWidth="1"/>
    <x:col min="10" max="10" width="44" hidden="0" customWidth="1"/>
  </x:cols>
  <x:sheetData>
    <x:row r="1" ht="30" customHeight="1">
      <x:c r="A1" s="43" t="str">
        <x:v>JEV-003-004 ·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>
      <x:c r="A3" s="46" t="str">
        <x:v>Model</x:v>
      </x:c>
      <x:c r="B3" t="str">
        <x:v>jev-latest</x:v>
      </x:c>
      <x:c r="D3" s="46" t="str">
        <x:v>Recent context</x:v>
      </x:c>
      <x:c r="E3" s="46"/>
      <x:c r="F3" s="46"/>
      <x:c r="G3" s="46"/>
      <x:c r="H3" s="46"/>
      <x:c r="I3" s="46"/>
      <x:c r="J3" s="46"/>
    </x:row>
    <x:row r="4">
      <x:c r="A4" s="46" t="str">
        <x:v>Question version</x:v>
      </x:c>
      <x:c r="B4" t="str">
        <x:v>v2</x:v>
      </x:c>
      <x:c r="D4" s="14" t="str">
        <x:v>Speaker A: We have been seeing too much deformation around this bracket.
Speaker B: The current part is 3 mm aluminum.
Speaker A: We haven't tested another thickness yet.</x:v>
      </x:c>
      <x:c r="E4" s="14"/>
      <x:c r="F4" s="14"/>
      <x:c r="G4" s="14"/>
      <x:c r="H4" s="14"/>
      <x:c r="I4" s="14"/>
      <x:c r="J4" s="14"/>
    </x:row>
    <x:row r="5">
      <x:c r="A5" s="46" t="str">
        <x:v>Overall status</x:v>
      </x:c>
      <x:c r="B5" t="str">
        <x:v>FALHA</x:v>
      </x:c>
      <x:c r="D5" s="14"/>
      <x:c r="E5" s="14"/>
      <x:c r="F5" s="14"/>
      <x:c r="G5" s="14"/>
      <x:c r="H5" s="14"/>
      <x:c r="I5" s="14"/>
      <x:c r="J5" s="14"/>
    </x:row>
    <x:row r="6">
      <x:c r="A6" s="46" t="str">
        <x:v>State ID</x:v>
      </x:c>
      <x:c r="B6" t="str">
        <x:v>JEV-003-004</x:v>
      </x:c>
      <x:c r="D6" s="14"/>
      <x:c r="E6" s="14"/>
      <x:c r="F6" s="14"/>
      <x:c r="G6" s="14"/>
      <x:c r="H6" s="14"/>
      <x:c r="I6" s="14"/>
      <x:c r="J6" s="14"/>
    </x:row>
    <x:row r="7">
      <x:c r="D7" s="14"/>
      <x:c r="E7" s="14"/>
      <x:c r="F7" s="14"/>
      <x:c r="G7" s="14"/>
      <x:c r="H7" s="14"/>
      <x:c r="I7" s="14"/>
      <x:c r="J7" s="14"/>
    </x:row>
    <x:row r="8">
      <x:c r="A8" s="46" t="str">
        <x:v>Current utterance</x:v>
      </x:c>
      <x:c r="B8" s="46"/>
      <x:c r="C8" s="46"/>
      <x:c r="D8" s="46"/>
      <x:c r="E8" s="46"/>
      <x:c r="F8" s="46"/>
      <x:c r="G8" s="46"/>
      <x:c r="H8" s="46"/>
      <x:c r="I8" s="46"/>
      <x:c r="J8" s="46"/>
    </x:row>
    <x:row r="9">
      <x:c r="A9" s="14" t="str">
        <x:v>Speaker C: Let's test aluminum on one prototype.</x:v>
      </x:c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2">
      <x:c r="A12" s="50" t="str">
        <x:v>Question</x:v>
      </x:c>
      <x:c r="B12" s="50" t="str">
        <x:v>Primitive</x:v>
      </x:c>
      <x:c r="C12" s="50" t="str">
        <x:v>Expected</x:v>
      </x:c>
      <x:c r="D12" s="50" t="str">
        <x:v>Expected reason</x:v>
      </x:c>
      <x:c r="E12" s="50" t="str">
        <x:v>Actual</x:v>
      </x:c>
      <x:c r="F12" s="50" t="str">
        <x:v>Distribution</x:v>
      </x:c>
      <x:c r="G12" s="50" t="str">
        <x:v>Confidence</x:v>
      </x:c>
      <x:c r="H12" s="50" t="str">
        <x:v>Assessment</x:v>
      </x:c>
      <x:c r="I12" s="50" t="str">
        <x:v>Failure mode</x:v>
      </x:c>
      <x:c r="J12" s="50" t="str">
        <x:v>Notes</x:v>
      </x:c>
    </x:row>
    <x:row r="13" ht="72" customHeight="1">
      <x:c r="A13" s="14" t="str">
        <x:v>should_track</x:v>
      </x:c>
      <x:c r="B13" s="14" t="str">
        <x:v>noul</x:v>
      </x:c>
      <x:c r="C13" s="14" t="str">
        <x:v>true</x:v>
      </x:c>
      <x:c r="D13" s="14" t="str">
        <x:v>A concrete prototype test should be tracked.</x:v>
      </x:c>
      <x:c r="E13" s="14" t="str">
        <x:v>true</x:v>
      </x:c>
      <x:c r="F13" s="14" t="str">
        <x:v>true 87% | false 13%</x:v>
      </x:c>
      <x:c r="G13" s="14" t="str">
        <x:v>87%</x:v>
      </x:c>
      <x:c r="H13" s="14" t="str">
        <x:v>ALINHADO</x:v>
      </x:c>
      <x:c r="I13" s="14" t="str"/>
      <x:c r="J13" s="14" t="str"/>
    </x:row>
    <x:row r="14" ht="72" customHeight="1">
      <x:c r="A14" s="14" t="str">
        <x:v>event_type</x:v>
      </x:c>
      <x:c r="B14" s="14" t="str">
        <x:v>choice</x:v>
      </x:c>
      <x:c r="C14" s="14" t="str">
        <x:v>test_proposal</x:v>
      </x:c>
      <x:c r="D14" s="14" t="str">
        <x:v>The primary event is explicitly testing aluminum on a prototype.</x:v>
      </x:c>
      <x:c r="E14" s="14" t="str">
        <x:v>test_proposal</x:v>
      </x:c>
      <x:c r="F14" s="14" t="str">
        <x:v>test_proposal 99% | action_item 1% | all others 0%</x:v>
      </x:c>
      <x:c r="G14" s="14" t="str">
        <x:v>99%</x:v>
      </x:c>
      <x:c r="H14" s="14" t="str">
        <x:v>ALINHADO</x:v>
      </x:c>
      <x:c r="I14" s="14" t="str"/>
      <x:c r="J14" s="14" t="str"/>
    </x:row>
    <x:row r="15" ht="72" customHeight="1">
      <x:c r="A15" s="14" t="str">
        <x:v>test_is_proposed</x:v>
      </x:c>
      <x:c r="B15" s="14" t="str">
        <x:v>noul</x:v>
      </x:c>
      <x:c r="C15" s="14" t="str">
        <x:v>true</x:v>
      </x:c>
      <x:c r="D15" s="14" t="str">
        <x:v>The sentence explicitly proposes a test.</x:v>
      </x:c>
      <x:c r="E15" s="14" t="str">
        <x:v>true</x:v>
      </x:c>
      <x:c r="F15" s="14" t="str">
        <x:v>true 98% | false 2%</x:v>
      </x:c>
      <x:c r="G15" s="14" t="str">
        <x:v>98%</x:v>
      </x:c>
      <x:c r="H15" s="14" t="str">
        <x:v>ALINHADO</x:v>
      </x:c>
      <x:c r="I15" s="14" t="str"/>
      <x:c r="J15" s="14" t="str"/>
    </x:row>
    <x:row r="16" ht="72" customHeight="1">
      <x:c r="A16" s="14" t="str">
        <x:v>decision_is_final</x:v>
      </x:c>
      <x:c r="B16" s="14" t="str">
        <x:v>noul</x:v>
      </x:c>
      <x:c r="C16" s="14" t="str">
        <x:v>false</x:v>
      </x:c>
      <x:c r="D16" s="14" t="str">
        <x:v>Testing a material is not a final project decision.</x:v>
      </x:c>
      <x:c r="E16" s="14" t="str">
        <x:v>false</x:v>
      </x:c>
      <x:c r="F16" s="14" t="str">
        <x:v>true 16% | false 84%</x:v>
      </x:c>
      <x:c r="G16" s="14" t="str">
        <x:v>84%</x:v>
      </x:c>
      <x:c r="H16" s="14" t="str">
        <x:v>ALINHADO</x:v>
      </x:c>
      <x:c r="I16" s="14" t="str"/>
      <x:c r="J16" s="14" t="str"/>
    </x:row>
    <x:row r="17" ht="72" customHeight="1">
      <x:c r="A17" s="14" t="str">
        <x:v>pending_decision</x:v>
      </x:c>
      <x:c r="B17" s="14" t="str">
        <x:v>noul</x:v>
      </x:c>
      <x:c r="C17" s="14" t="str">
        <x:v>false</x:v>
      </x:c>
      <x:c r="D17" s="14" t="str">
        <x:v>A future decision may be implied, but no specific decision is explicitly established by this utterance.</x:v>
      </x:c>
      <x:c r="E17" s="14" t="str">
        <x:v>true</x:v>
      </x:c>
      <x:c r="F17" s="14" t="str">
        <x:v>true 76% | false 24%</x:v>
      </x:c>
      <x:c r="G17" s="14" t="str">
        <x:v>76%</x:v>
      </x:c>
      <x:c r="H17" s="14" t="str">
        <x:v>FALHA</x:v>
      </x:c>
      <x:c r="I17" s="14" t="str">
        <x:v>OVERINFERRED_PENDING_DECISION</x:v>
      </x:c>
      <x:c r="J17" s="14" t="str">
        <x:v>Mesmo padrão do Teste 003.</x:v>
      </x:c>
    </x:row>
    <x:row r="18" ht="72" customHeight="1">
      <x:c r="A18" s="14" t="str">
        <x:v>creates_action_item</x:v>
      </x:c>
      <x:c r="B18" s="14" t="str">
        <x:v>noul</x:v>
      </x:c>
      <x:c r="C18" s="14" t="str">
        <x:v>true</x:v>
      </x:c>
      <x:c r="D18" s="14" t="str">
        <x:v>Running the prototype test is a concrete task.</x:v>
      </x:c>
      <x:c r="E18" s="14" t="str">
        <x:v>true</x:v>
      </x:c>
      <x:c r="F18" s="14" t="str">
        <x:v>true 93% | false 7%</x:v>
      </x:c>
      <x:c r="G18" s="14" t="str">
        <x:v>93%</x:v>
      </x:c>
      <x:c r="H18" s="14" t="str">
        <x:v>ALINHADO</x:v>
      </x:c>
      <x:c r="I18" s="14" t="str"/>
      <x:c r="J18" s="14" t="str"/>
    </x:row>
    <x:row r="19" ht="72" customHeight="1">
      <x:c r="A19" s="14" t="str">
        <x:v>next_step_commitment</x:v>
      </x:c>
      <x:c r="B19" s="14" t="str">
        <x:v>score</x:v>
      </x:c>
      <x:c r="C19" s="14" t="str">
        <x:v>2</x:v>
      </x:c>
      <x:c r="D19" s="14" t="str">
        <x:v>Let's test is a concrete proposed next step without explicit assignment or schedule.</x:v>
      </x:c>
      <x:c r="E19" s="14" t="str">
        <x:v>2.13</x:v>
      </x:c>
      <x:c r="F19" s="14" t="str">
        <x:v>L0 0% | L1 0% | L2 86% | L3 14%</x:v>
      </x:c>
      <x:c r="G19" s="14" t="str">
        <x:v>86%</x:v>
      </x:c>
      <x:c r="H19" s="14" t="str">
        <x:v>ALINHADO</x:v>
      </x:c>
      <x:c r="I19" s="14" t="str"/>
      <x:c r="J19" s="14" t="str"/>
    </x:row>
    <x:row r="20" ht="72" customHeight="1">
      <x:c r="A20" s="14" t="str">
        <x:v>change_commitment</x:v>
      </x:c>
      <x:c r="B20" s="14" t="str">
        <x:v>score</x:v>
      </x:c>
      <x:c r="C20" s="14" t="str">
        <x:v>1</x:v>
      </x:c>
      <x:c r="D20" s="14" t="str">
        <x:v>The material change itself is still only being explored through testing.</x:v>
      </x:c>
      <x:c r="E20" s="14" t="str">
        <x:v>1.11</x:v>
      </x:c>
      <x:c r="F20" s="14" t="str">
        <x:v>L0 7% | L1 76% | L2 17% | L3 0%</x:v>
      </x:c>
      <x:c r="G20" s="14" t="str">
        <x:v>75%</x:v>
      </x:c>
      <x:c r="H20" s="14" t="str">
        <x:v>ALINHADO</x:v>
      </x:c>
      <x:c r="I20" s="14" t="str"/>
      <x:c r="J20" s="14" t="str"/>
    </x:row>
    <x:row r="21" ht="72" customHeight="1">
      <x:c r="A21" s="14" t="str">
        <x:v>project_impact</x:v>
      </x:c>
      <x:c r="B21" s="14" t="str">
        <x:v>score</x:v>
      </x:c>
      <x:c r="C21" s="14" t="str">
        <x:v>2</x:v>
      </x:c>
      <x:c r="D21" s="14" t="str">
        <x:v>The test affects a component and a near-term engineering decision.</x:v>
      </x:c>
      <x:c r="E21" s="14" t="str">
        <x:v>2.00</x:v>
      </x:c>
      <x:c r="F21" s="14" t="str">
        <x:v>L0 0% | L1 0% | L2 99% | L3 1%</x:v>
      </x:c>
      <x:c r="G21" s="14" t="str">
        <x:v>99%</x:v>
      </x:c>
      <x:c r="H21" s="14" t="str">
        <x:v>ALINHADO</x:v>
      </x:c>
      <x:c r="I21" s="14" t="str"/>
      <x:c r="J21" s="14" t="str"/>
    </x:row>
    <x:row r="22" ht="72" customHeight="1">
      <x:c r="A22" s="14" t="str">
        <x:v>primary_affected_area</x:v>
      </x:c>
      <x:c r="B22" s="14" t="str">
        <x:v>choice</x:v>
      </x:c>
      <x:c r="C22" s="14" t="str">
        <x:v>material</x:v>
      </x:c>
      <x:c r="D22" s="14" t="str">
        <x:v>The test variable is the material choice.</x:v>
      </x:c>
      <x:c r="E22" s="14" t="str">
        <x:v>material</x:v>
      </x:c>
      <x:c r="F22" s="14" t="str">
        <x:v>material 53% | performance 29% | process 9% | design 8% | manufacturing 1% | all others 0%</x:v>
      </x:c>
      <x:c r="G22" s="14" t="str">
        <x:v>46%</x:v>
      </x:c>
      <x:c r="H22" s="14" t="str">
        <x:v>ALINHADO</x:v>
      </x:c>
      <x:c r="I22" s="14" t="str">
        <x:v>LOW_CONFIDENCE</x:v>
      </x:c>
      <x:c r="J22" s="14" t="str">
        <x:v>A resposta principal está correta, mas material e performance ficaram relativamente próximos.</x:v>
      </x:c>
    </x:row>
    <x:row r="23" ht="72" customHeight="1">
      <x:c r="A23" s="14" t="str">
        <x:v>requires_followup</x:v>
      </x:c>
      <x:c r="B23" s="14" t="str">
        <x:v>noul</x:v>
      </x:c>
      <x:c r="C23" s="14" t="str">
        <x:v>true</x:v>
      </x:c>
      <x:c r="D23" s="14" t="str">
        <x:v>The prototype result must be checked later.</x:v>
      </x:c>
      <x:c r="E23" s="14" t="str">
        <x:v>true</x:v>
      </x:c>
      <x:c r="F23" s="14" t="str">
        <x:v>true 93% | false 7%</x:v>
      </x:c>
      <x:c r="G23" s="14" t="str">
        <x:v>93%</x:v>
      </x:c>
      <x:c r="H23" s="14" t="str">
        <x:v>ALINHADO</x:v>
      </x:c>
      <x:c r="I23" s="14" t="str"/>
      <x:c r="J23" s="14" t="str"/>
    </x:row>
    <x:row r="25">
      <x:c r="A25" s="46" t="str">
        <x:v>Case notes</x:v>
      </x:c>
      <x:c r="B25" s="46"/>
      <x:c r="C25" s="46"/>
      <x:c r="D25" s="46"/>
      <x:c r="E25" s="46"/>
      <x:c r="F25" s="46"/>
      <x:c r="G25" s="46"/>
      <x:c r="H25" s="46"/>
      <x:c r="I25" s="46"/>
      <x:c r="J25" s="46"/>
    </x:row>
    <x:row r="26">
      <x:c r="A26" s="14" t="str">
        <x:v>pending_decision voltou a inferir uma decisão futura sem ela estar explicitamente estabelecida.</x:v>
      </x:c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8">
      <x:c r="A28" s="46" t="str">
        <x:v>Question</x:v>
      </x:c>
      <x:c r="B28" s="46" t="str">
        <x:v>Primitive</x:v>
      </x:c>
      <x:c r="C28" s="46" t="str">
        <x:v>Instruction</x:v>
      </x:c>
      <x:c r="D28" s="46" t="str">
        <x:v>Criteria</x:v>
      </x:c>
    </x:row>
    <x:row r="29" ht="95" customHeight="1">
      <x:c r="A29" s="14" t="str">
        <x:v>should_track</x:v>
      </x:c>
      <x:c r="B29" s="14" t="str">
        <x:v>noul</x:v>
      </x:c>
      <x:c r="C29" s="14" t="str">
        <x:v>Should the current utterance create a new tracked project item or update an existing tracked item?</x:v>
      </x:c>
      <x:c r="D29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</x:row>
    <x:row r="30" ht="95" customHeight="1">
      <x:c r="A30" s="14" t="str">
        <x:v>event_type</x:v>
      </x:c>
      <x:c r="B30" s="14" t="str">
        <x:v>choice</x:v>
      </x:c>
      <x:c r="C30" s="14" t="str">
        <x:v>Classify the primary project event expressed in the current utterance.</x:v>
      </x:c>
      <x:c r="D30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</x:row>
    <x:row r="31" ht="95" customHeight="1">
      <x:c r="A31" s="14" t="str">
        <x:v>test_is_proposed</x:v>
      </x:c>
      <x:c r="B31" s="14" t="str">
        <x:v>noul</x:v>
      </x:c>
      <x:c r="C31" s="14" t="str">
        <x:v>Does the current utterance explicitly propose performing a test, experiment, prototype, trial, measurement, validation, or comparison?</x:v>
      </x:c>
      <x:c r="D31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</x:row>
    <x:row r="32" ht="95" customHeight="1">
      <x:c r="A32" s="14" t="str">
        <x:v>decision_is_final</x:v>
      </x:c>
      <x:c r="B32" s="14" t="str">
        <x:v>noul</x:v>
      </x:c>
      <x:c r="C32" s="14" t="str">
        <x:v>Does the current utterance commit the project to a choice or change now, without waiting for a future test, condition, approval, or unresolved decision?</x:v>
      </x:c>
      <x:c r="D32" s="14" t="str">
        <x:v>TRUE: The choice or change should be treated as decided and active now. FALSE: It is exploratory, conditional, proposed, waiting on evidence or approval, or no decision is present.</x:v>
      </x:c>
    </x:row>
    <x:row r="33" ht="95" customHeight="1">
      <x:c r="A33" s="14" t="str">
        <x:v>pending_decision</x:v>
      </x:c>
      <x:c r="B33" s="14" t="str">
        <x:v>noul</x:v>
      </x:c>
      <x:c r="C33" s="14" t="str">
        <x:v>Does the current utterance establish that a specific project decision is still unresolved and must be made later?</x:v>
      </x:c>
      <x:c r="D33" s="14" t="str">
        <x:v>TRUE: A specific future decision remains open and may depend on a test, evidence, approval, or another condition. FALSE: No future decision is established, or the relevant decision is already final.</x:v>
      </x:c>
    </x:row>
    <x:row r="34" ht="95" customHeight="1">
      <x:c r="A34" s="14" t="str">
        <x:v>creates_action_item</x:v>
      </x:c>
      <x:c r="B34" s="14" t="str">
        <x:v>noul</x:v>
      </x:c>
      <x:c r="C34" s="14" t="str">
        <x:v>Does the current utterance establish a concrete task or next action that someone should perform?</x:v>
      </x:c>
      <x:c r="D34" s="14" t="str">
        <x:v>TRUE: A specific activity should be performed, even if no person or deadline is explicitly assigned. FALSE: The utterance only discusses, observes, hypothesizes, or evaluates something without establishing a concrete action.</x:v>
      </x:c>
    </x:row>
    <x:row r="35" ht="95" customHeight="1">
      <x:c r="A35" s="14" t="str">
        <x:v>next_step_commitment</x:v>
      </x:c>
      <x:c r="B35" s="14" t="str">
        <x:v>score</x:v>
      </x:c>
      <x:c r="C35" s="14" t="str">
        <x:v>How strongly does the current utterance commit the team to performing the stated next step?</x:v>
      </x:c>
      <x:c r="D35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</x:row>
    <x:row r="36" ht="95" customHeight="1">
      <x:c r="A36" s="14" t="str">
        <x:v>change_commitment</x:v>
      </x:c>
      <x:c r="B36" s="14" t="str">
        <x:v>score</x:v>
      </x:c>
      <x:c r="C36" s="14" t="str">
        <x:v>How committed is the project to the underlying project change itself, excluding commitment to testing or discussing it?</x:v>
      </x:c>
      <x:c r="D36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</x:row>
    <x:row r="37" ht="95" customHeight="1">
      <x:c r="A37" s="14" t="str">
        <x:v>project_impact</x:v>
      </x:c>
      <x:c r="B37" s="14" t="str">
        <x:v>score</x:v>
      </x:c>
      <x:c r="C37" s="14" t="str">
        <x:v>Assuming the event described in the current utterance proceeds or is valid, how broad would its impact on the project be?</x:v>
      </x:c>
      <x:c r="D37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</x:row>
    <x:row r="38" ht="95" customHeight="1">
      <x:c r="A38" s="14" t="str">
        <x:v>primary_affected_area</x:v>
      </x:c>
      <x:c r="B38" s="14" t="str">
        <x:v>choice</x:v>
      </x:c>
      <x:c r="C38" s="14" t="str">
        <x:v>Which project area is most directly affected by the current utterance?</x:v>
      </x:c>
      <x:c r="D38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</x:row>
    <x:row r="39" ht="95" customHeight="1">
      <x:c r="A39" s="14" t="str">
        <x:v>requires_followup</x:v>
      </x:c>
      <x:c r="B39" s="14" t="str">
        <x:v>noul</x:v>
      </x:c>
      <x:c r="C39" s="14" t="str">
        <x:v>Does the current utterance create or update something whose outcome should be checked again later?</x:v>
      </x:c>
      <x:c r="D39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</x:row>
  </x:sheetData>
  <x:mergeCells>
    <x:mergeCell ref="A1:J1"/>
    <x:mergeCell ref="D3:J3"/>
    <x:mergeCell ref="D4:J7"/>
    <x:mergeCell ref="A8:J8"/>
    <x:mergeCell ref="A9:J10"/>
    <x:mergeCell ref="A25:J25"/>
    <x:mergeCell ref="A26:J26"/>
  </x:mergeCells>
  <x:conditionalFormatting sqref="H13:H23">
    <x:cfRule type="expression" dxfId="28" priority="1">
      <x:formula>H13="ALINHADO"</x:formula>
    </x:cfRule>
    <x:cfRule type="expression" dxfId="29" priority="2">
      <x:formula>H13="FALHA"</x:formula>
    </x:cfRule>
    <x:cfRule type="expression" dxfId="30" priority="3">
      <x:formula>H13="AMBÍGUO"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46" hidden="0" customWidth="1"/>
    <x:col min="5" max="5" width="18" hidden="0" customWidth="1"/>
    <x:col min="6" max="6" width="46" hidden="0" customWidth="1"/>
    <x:col min="7" max="7" width="14" hidden="0" customWidth="1"/>
    <x:col min="8" max="8" width="15" hidden="0" customWidth="1"/>
    <x:col min="9" max="9" width="28" hidden="0" customWidth="1"/>
    <x:col min="10" max="10" width="44" hidden="0" customWidth="1"/>
  </x:cols>
  <x:sheetData>
    <x:row r="1" ht="30" customHeight="1">
      <x:c r="A1" s="43" t="str">
        <x:v>JEV-003-005 ·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>
      <x:c r="A3" s="46" t="str">
        <x:v>Model</x:v>
      </x:c>
      <x:c r="B3" t="str">
        <x:v>jev-latest</x:v>
      </x:c>
      <x:c r="D3" s="46" t="str">
        <x:v>Recent context</x:v>
      </x:c>
      <x:c r="E3" s="46"/>
      <x:c r="F3" s="46"/>
      <x:c r="G3" s="46"/>
      <x:c r="H3" s="46"/>
      <x:c r="I3" s="46"/>
      <x:c r="J3" s="46"/>
    </x:row>
    <x:row r="4">
      <x:c r="A4" s="46" t="str">
        <x:v>Question version</x:v>
      </x:c>
      <x:c r="B4" t="str">
        <x:v>v2</x:v>
      </x:c>
      <x:c r="D4" s="14" t="str">
        <x:v>Speaker A: We have been seeing too much deformation around this bracket.
Speaker B: The current part is 3 mm aluminum.
Speaker A: We haven't tested another thickness yet.</x:v>
      </x:c>
      <x:c r="E4" s="14"/>
      <x:c r="F4" s="14"/>
      <x:c r="G4" s="14"/>
      <x:c r="H4" s="14"/>
      <x:c r="I4" s="14"/>
      <x:c r="J4" s="14"/>
    </x:row>
    <x:row r="5">
      <x:c r="A5" s="46" t="str">
        <x:v>Overall status</x:v>
      </x:c>
      <x:c r="B5" t="str">
        <x:v>ALINHADO</x:v>
      </x:c>
      <x:c r="D5" s="14"/>
      <x:c r="E5" s="14"/>
      <x:c r="F5" s="14"/>
      <x:c r="G5" s="14"/>
      <x:c r="H5" s="14"/>
      <x:c r="I5" s="14"/>
      <x:c r="J5" s="14"/>
    </x:row>
    <x:row r="6">
      <x:c r="A6" s="46" t="str">
        <x:v>State ID</x:v>
      </x:c>
      <x:c r="B6" t="str">
        <x:v>JEV-003-005</x:v>
      </x:c>
      <x:c r="D6" s="14"/>
      <x:c r="E6" s="14"/>
      <x:c r="F6" s="14"/>
      <x:c r="G6" s="14"/>
      <x:c r="H6" s="14"/>
      <x:c r="I6" s="14"/>
      <x:c r="J6" s="14"/>
    </x:row>
    <x:row r="7">
      <x:c r="D7" s="14"/>
      <x:c r="E7" s="14"/>
      <x:c r="F7" s="14"/>
      <x:c r="G7" s="14"/>
      <x:c r="H7" s="14"/>
      <x:c r="I7" s="14"/>
      <x:c r="J7" s="14"/>
    </x:row>
    <x:row r="8">
      <x:c r="A8" s="46" t="str">
        <x:v>Current utterance</x:v>
      </x:c>
      <x:c r="B8" s="46"/>
      <x:c r="C8" s="46"/>
      <x:c r="D8" s="46"/>
      <x:c r="E8" s="46"/>
      <x:c r="F8" s="46"/>
      <x:c r="G8" s="46"/>
      <x:c r="H8" s="46"/>
      <x:c r="I8" s="46"/>
      <x:c r="J8" s="46"/>
    </x:row>
    <x:row r="9">
      <x:c r="A9" s="14" t="str">
        <x:v>Speaker C: The aluminum prototype performed better.</x:v>
      </x:c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2">
      <x:c r="A12" s="50" t="str">
        <x:v>Question</x:v>
      </x:c>
      <x:c r="B12" s="50" t="str">
        <x:v>Primitive</x:v>
      </x:c>
      <x:c r="C12" s="50" t="str">
        <x:v>Expected</x:v>
      </x:c>
      <x:c r="D12" s="50" t="str">
        <x:v>Expected reason</x:v>
      </x:c>
      <x:c r="E12" s="50" t="str">
        <x:v>Actual</x:v>
      </x:c>
      <x:c r="F12" s="50" t="str">
        <x:v>Distribution</x:v>
      </x:c>
      <x:c r="G12" s="50" t="str">
        <x:v>Confidence</x:v>
      </x:c>
      <x:c r="H12" s="50" t="str">
        <x:v>Assessment</x:v>
      </x:c>
      <x:c r="I12" s="50" t="str">
        <x:v>Failure mode</x:v>
      </x:c>
      <x:c r="J12" s="50" t="str">
        <x:v>Notes</x:v>
      </x:c>
    </x:row>
    <x:row r="13" ht="72" customHeight="1">
      <x:c r="A13" s="14" t="str">
        <x:v>should_track</x:v>
      </x:c>
      <x:c r="B13" s="14" t="str">
        <x:v>noul</x:v>
      </x:c>
      <x:c r="C13" s="14" t="str">
        <x:v>true</x:v>
      </x:c>
      <x:c r="D13" s="14" t="str">
        <x:v>A test result can materially update a tracked project item.</x:v>
      </x:c>
      <x:c r="E13" s="14" t="str">
        <x:v>true</x:v>
      </x:c>
      <x:c r="F13" s="14" t="str">
        <x:v>true 81% | false 19%</x:v>
      </x:c>
      <x:c r="G13" s="14" t="str">
        <x:v>81%</x:v>
      </x:c>
      <x:c r="H13" s="14" t="str">
        <x:v>ALINHADO</x:v>
      </x:c>
      <x:c r="I13" s="14" t="str"/>
      <x:c r="J13" s="14" t="str"/>
    </x:row>
    <x:row r="14" ht="72" customHeight="1">
      <x:c r="A14" s="14" t="str">
        <x:v>event_type</x:v>
      </x:c>
      <x:c r="B14" s="14" t="str">
        <x:v>choice</x:v>
      </x:c>
      <x:c r="C14" s="14" t="str">
        <x:v>test_result</x:v>
      </x:c>
      <x:c r="D14" s="14" t="str">
        <x:v>The sentence reports the outcome of a prototype test.</x:v>
      </x:c>
      <x:c r="E14" s="14" t="str">
        <x:v>test_result</x:v>
      </x:c>
      <x:c r="F14" s="14" t="str">
        <x:v>test_result 100% | all others 0%</x:v>
      </x:c>
      <x:c r="G14" s="14" t="str">
        <x:v>100%</x:v>
      </x:c>
      <x:c r="H14" s="14" t="str">
        <x:v>ALINHADO</x:v>
      </x:c>
      <x:c r="I14" s="14" t="str"/>
      <x:c r="J14" s="14" t="str"/>
    </x:row>
    <x:row r="15" ht="72" customHeight="1">
      <x:c r="A15" s="14" t="str">
        <x:v>test_is_proposed</x:v>
      </x:c>
      <x:c r="B15" s="14" t="str">
        <x:v>noul</x:v>
      </x:c>
      <x:c r="C15" s="14" t="str">
        <x:v>false</x:v>
      </x:c>
      <x:c r="D15" s="14" t="str">
        <x:v>The test already happened and the sentence reports its result.</x:v>
      </x:c>
      <x:c r="E15" s="14" t="str">
        <x:v>false</x:v>
      </x:c>
      <x:c r="F15" s="14" t="str">
        <x:v>true 5% | false 95%</x:v>
      </x:c>
      <x:c r="G15" s="14" t="str">
        <x:v>95%</x:v>
      </x:c>
      <x:c r="H15" s="14" t="str">
        <x:v>ALINHADO</x:v>
      </x:c>
      <x:c r="I15" s="14" t="str"/>
      <x:c r="J15" s="14" t="str"/>
    </x:row>
    <x:row r="16" ht="72" customHeight="1">
      <x:c r="A16" s="14" t="str">
        <x:v>decision_is_final</x:v>
      </x:c>
      <x:c r="B16" s="14" t="str">
        <x:v>noul</x:v>
      </x:c>
      <x:c r="C16" s="14" t="str">
        <x:v>false</x:v>
      </x:c>
      <x:c r="D16" s="14" t="str">
        <x:v>A better result does not by itself commit the project to a change.</x:v>
      </x:c>
      <x:c r="E16" s="14" t="str">
        <x:v>false</x:v>
      </x:c>
      <x:c r="F16" s="14" t="str">
        <x:v>true 16% | false 84%</x:v>
      </x:c>
      <x:c r="G16" s="14" t="str">
        <x:v>84%</x:v>
      </x:c>
      <x:c r="H16" s="14" t="str">
        <x:v>ALINHADO</x:v>
      </x:c>
      <x:c r="I16" s="14" t="str"/>
      <x:c r="J16" s="14" t="str"/>
    </x:row>
    <x:row r="17" ht="72" customHeight="1">
      <x:c r="A17" s="14" t="str">
        <x:v>pending_decision</x:v>
      </x:c>
      <x:c r="B17" s="14" t="str">
        <x:v>noul</x:v>
      </x:c>
      <x:c r="C17" s="14" t="str">
        <x:v>false</x:v>
      </x:c>
      <x:c r="D17" s="14" t="str">
        <x:v>The result may inform a later decision, but this sentence does not explicitly establish one.</x:v>
      </x:c>
      <x:c r="E17" s="14" t="str">
        <x:v>false</x:v>
      </x:c>
      <x:c r="F17" s="14" t="str">
        <x:v>true 42% | false 58%</x:v>
      </x:c>
      <x:c r="G17" s="14" t="str">
        <x:v>58%</x:v>
      </x:c>
      <x:c r="H17" s="14" t="str">
        <x:v>ALINHADO</x:v>
      </x:c>
      <x:c r="I17" s="14" t="str">
        <x:v>LOW_MARGIN</x:v>
      </x:c>
      <x:c r="J17" s="14" t="str">
        <x:v>Correto, mas perto da fronteira.</x:v>
      </x:c>
    </x:row>
    <x:row r="18" ht="72" customHeight="1">
      <x:c r="A18" s="14" t="str">
        <x:v>creates_action_item</x:v>
      </x:c>
      <x:c r="B18" s="14" t="str">
        <x:v>noul</x:v>
      </x:c>
      <x:c r="C18" s="14" t="str">
        <x:v>false</x:v>
      </x:c>
      <x:c r="D18" s="14" t="str">
        <x:v>No task or next action is stated.</x:v>
      </x:c>
      <x:c r="E18" s="14" t="str">
        <x:v>false</x:v>
      </x:c>
      <x:c r="F18" s="14" t="str">
        <x:v>true 9% | false 91%</x:v>
      </x:c>
      <x:c r="G18" s="14" t="str">
        <x:v>91%</x:v>
      </x:c>
      <x:c r="H18" s="14" t="str">
        <x:v>ALINHADO</x:v>
      </x:c>
      <x:c r="I18" s="14" t="str"/>
      <x:c r="J18" s="14" t="str"/>
    </x:row>
    <x:row r="19" ht="72" customHeight="1">
      <x:c r="A19" s="14" t="str">
        <x:v>next_step_commitment</x:v>
      </x:c>
      <x:c r="B19" s="14" t="str">
        <x:v>score</x:v>
      </x:c>
      <x:c r="C19" s="14" t="str">
        <x:v>0</x:v>
      </x:c>
      <x:c r="D19" s="14" t="str">
        <x:v>No next step is established.</x:v>
      </x:c>
      <x:c r="E19" s="14" t="str">
        <x:v>0.08</x:v>
      </x:c>
      <x:c r="F19" s="14" t="str">
        <x:v>L0 93% | L1 6% | L2 1% | L3 0%</x:v>
      </x:c>
      <x:c r="G19" s="14" t="str">
        <x:v>92%</x:v>
      </x:c>
      <x:c r="H19" s="14" t="str">
        <x:v>ALINHADO</x:v>
      </x:c>
      <x:c r="I19" s="14" t="str"/>
      <x:c r="J19" s="14" t="str"/>
    </x:row>
    <x:row r="20" ht="72" customHeight="1">
      <x:c r="A20" s="14" t="str">
        <x:v>change_commitment</x:v>
      </x:c>
      <x:c r="B20" s="14" t="str">
        <x:v>score</x:v>
      </x:c>
      <x:c r="C20" s="14" t="str">
        <x:v>1</x:v>
      </x:c>
      <x:c r="D20" s="14" t="str">
        <x:v>The positive result can support exploring a change, but no change is proposed or decided.</x:v>
      </x:c>
      <x:c r="E20" s="14" t="str">
        <x:v>1.41</x:v>
      </x:c>
      <x:c r="F20" s="14" t="str">
        <x:v>L0 1% | L1 66% | L2 25% | L3 8%</x:v>
      </x:c>
      <x:c r="G20" s="14" t="str">
        <x:v>58%</x:v>
      </x:c>
      <x:c r="H20" s="14" t="str">
        <x:v>ALINHADO</x:v>
      </x:c>
      <x:c r="I20" s="14" t="str">
        <x:v>LOW_CONFIDENCE</x:v>
      </x:c>
      <x:c r="J20" s="14" t="str">
        <x:v>O nível principal ficou correto, mas há dispersão relevante para níveis 2 e 3.</x:v>
      </x:c>
    </x:row>
    <x:row r="21" ht="72" customHeight="1">
      <x:c r="A21" s="14" t="str">
        <x:v>project_impact</x:v>
      </x:c>
      <x:c r="B21" s="14" t="str">
        <x:v>score</x:v>
      </x:c>
      <x:c r="C21" s="14" t="str">
        <x:v>2</x:v>
      </x:c>
      <x:c r="D21" s="14" t="str">
        <x:v>The result can affect a component and a near-term engineering decision.</x:v>
      </x:c>
      <x:c r="E21" s="14" t="str">
        <x:v>2.01</x:v>
      </x:c>
      <x:c r="F21" s="14" t="str">
        <x:v>L0 0% | L1 2% | L2 94% | L3 4%</x:v>
      </x:c>
      <x:c r="G21" s="14" t="str">
        <x:v>94%</x:v>
      </x:c>
      <x:c r="H21" s="14" t="str">
        <x:v>ALINHADO</x:v>
      </x:c>
      <x:c r="I21" s="14" t="str"/>
      <x:c r="J21" s="14" t="str"/>
    </x:row>
    <x:row r="22" ht="72" customHeight="1">
      <x:c r="A22" s="14" t="str">
        <x:v>primary_affected_area</x:v>
      </x:c>
      <x:c r="B22" s="14" t="str">
        <x:v>choice</x:v>
      </x:c>
      <x:c r="C22" s="14" t="str">
        <x:v>performance</x:v>
      </x:c>
      <x:c r="D22" s="14" t="str">
        <x:v>Performed better is directly a performance result.</x:v>
      </x:c>
      <x:c r="E22" s="14" t="str">
        <x:v>performance</x:v>
      </x:c>
      <x:c r="F22" s="14" t="str">
        <x:v>performance 89% | material 9% | design 2% | all others 0%</x:v>
      </x:c>
      <x:c r="G22" s="14" t="str">
        <x:v>87%</x:v>
      </x:c>
      <x:c r="H22" s="14" t="str">
        <x:v>ALINHADO</x:v>
      </x:c>
      <x:c r="I22" s="14" t="str"/>
      <x:c r="J22" s="14" t="str"/>
    </x:row>
    <x:row r="23" ht="72" customHeight="1">
      <x:c r="A23" s="14" t="str">
        <x:v>requires_followup</x:v>
      </x:c>
      <x:c r="B23" s="14" t="str">
        <x:v>noul</x:v>
      </x:c>
      <x:c r="C23" s="14" t="str">
        <x:v>true</x:v>
      </x:c>
      <x:c r="D23" s="14" t="str">
        <x:v>The result should update the tracked test and may affect later decisions.</x:v>
      </x:c>
      <x:c r="E23" s="14" t="str">
        <x:v>true</x:v>
      </x:c>
      <x:c r="F23" s="14" t="str">
        <x:v>true 76% | false 24%</x:v>
      </x:c>
      <x:c r="G23" s="14" t="str">
        <x:v>76%</x:v>
      </x:c>
      <x:c r="H23" s="14" t="str">
        <x:v>ALINHADO</x:v>
      </x:c>
      <x:c r="I23" s="14" t="str"/>
      <x:c r="J23" s="14" t="str"/>
    </x:row>
    <x:row r="25">
      <x:c r="A25" s="46" t="str">
        <x:v>Case notes</x:v>
      </x:c>
      <x:c r="B25" s="46"/>
      <x:c r="C25" s="46"/>
      <x:c r="D25" s="46"/>
      <x:c r="E25" s="46"/>
      <x:c r="F25" s="46"/>
      <x:c r="G25" s="46"/>
      <x:c r="H25" s="46"/>
      <x:c r="I25" s="46"/>
      <x:c r="J25" s="46"/>
    </x:row>
    <x:row r="26">
      <x:c r="A26" s="14" t="str">
        <x:v>Todas as respostas principais ficaram alinhadas. pending_decision e change_commitment tiveram distribuição mais espalhada e devem continuar sendo observadas.</x:v>
      </x:c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8">
      <x:c r="A28" s="46" t="str">
        <x:v>Question</x:v>
      </x:c>
      <x:c r="B28" s="46" t="str">
        <x:v>Primitive</x:v>
      </x:c>
      <x:c r="C28" s="46" t="str">
        <x:v>Instruction</x:v>
      </x:c>
      <x:c r="D28" s="46" t="str">
        <x:v>Criteria</x:v>
      </x:c>
    </x:row>
    <x:row r="29" ht="95" customHeight="1">
      <x:c r="A29" s="14" t="str">
        <x:v>should_track</x:v>
      </x:c>
      <x:c r="B29" s="14" t="str">
        <x:v>noul</x:v>
      </x:c>
      <x:c r="C29" s="14" t="str">
        <x:v>Should the current utterance create a new tracked project item or update an existing tracked item?</x:v>
      </x:c>
      <x:c r="D29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</x:row>
    <x:row r="30" ht="95" customHeight="1">
      <x:c r="A30" s="14" t="str">
        <x:v>event_type</x:v>
      </x:c>
      <x:c r="B30" s="14" t="str">
        <x:v>choice</x:v>
      </x:c>
      <x:c r="C30" s="14" t="str">
        <x:v>Classify the primary project event expressed in the current utterance.</x:v>
      </x:c>
      <x:c r="D30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</x:row>
    <x:row r="31" ht="95" customHeight="1">
      <x:c r="A31" s="14" t="str">
        <x:v>test_is_proposed</x:v>
      </x:c>
      <x:c r="B31" s="14" t="str">
        <x:v>noul</x:v>
      </x:c>
      <x:c r="C31" s="14" t="str">
        <x:v>Does the current utterance explicitly propose performing a test, experiment, prototype, trial, measurement, validation, or comparison?</x:v>
      </x:c>
      <x:c r="D31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</x:row>
    <x:row r="32" ht="95" customHeight="1">
      <x:c r="A32" s="14" t="str">
        <x:v>decision_is_final</x:v>
      </x:c>
      <x:c r="B32" s="14" t="str">
        <x:v>noul</x:v>
      </x:c>
      <x:c r="C32" s="14" t="str">
        <x:v>Does the current utterance commit the project to a choice or change now, without waiting for a future test, condition, approval, or unresolved decision?</x:v>
      </x:c>
      <x:c r="D32" s="14" t="str">
        <x:v>TRUE: The choice or change should be treated as decided and active now. FALSE: It is exploratory, conditional, proposed, waiting on evidence or approval, or no decision is present.</x:v>
      </x:c>
    </x:row>
    <x:row r="33" ht="95" customHeight="1">
      <x:c r="A33" s="14" t="str">
        <x:v>pending_decision</x:v>
      </x:c>
      <x:c r="B33" s="14" t="str">
        <x:v>noul</x:v>
      </x:c>
      <x:c r="C33" s="14" t="str">
        <x:v>Does the current utterance establish that a specific project decision is still unresolved and must be made later?</x:v>
      </x:c>
      <x:c r="D33" s="14" t="str">
        <x:v>TRUE: A specific future decision remains open and may depend on a test, evidence, approval, or another condition. FALSE: No future decision is established, or the relevant decision is already final.</x:v>
      </x:c>
    </x:row>
    <x:row r="34" ht="95" customHeight="1">
      <x:c r="A34" s="14" t="str">
        <x:v>creates_action_item</x:v>
      </x:c>
      <x:c r="B34" s="14" t="str">
        <x:v>noul</x:v>
      </x:c>
      <x:c r="C34" s="14" t="str">
        <x:v>Does the current utterance establish a concrete task or next action that someone should perform?</x:v>
      </x:c>
      <x:c r="D34" s="14" t="str">
        <x:v>TRUE: A specific activity should be performed, even if no person or deadline is explicitly assigned. FALSE: The utterance only discusses, observes, hypothesizes, or evaluates something without establishing a concrete action.</x:v>
      </x:c>
    </x:row>
    <x:row r="35" ht="95" customHeight="1">
      <x:c r="A35" s="14" t="str">
        <x:v>next_step_commitment</x:v>
      </x:c>
      <x:c r="B35" s="14" t="str">
        <x:v>score</x:v>
      </x:c>
      <x:c r="C35" s="14" t="str">
        <x:v>How strongly does the current utterance commit the team to performing the stated next step?</x:v>
      </x:c>
      <x:c r="D35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</x:row>
    <x:row r="36" ht="95" customHeight="1">
      <x:c r="A36" s="14" t="str">
        <x:v>change_commitment</x:v>
      </x:c>
      <x:c r="B36" s="14" t="str">
        <x:v>score</x:v>
      </x:c>
      <x:c r="C36" s="14" t="str">
        <x:v>How committed is the project to the underlying project change itself, excluding commitment to testing or discussing it?</x:v>
      </x:c>
      <x:c r="D36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</x:row>
    <x:row r="37" ht="95" customHeight="1">
      <x:c r="A37" s="14" t="str">
        <x:v>project_impact</x:v>
      </x:c>
      <x:c r="B37" s="14" t="str">
        <x:v>score</x:v>
      </x:c>
      <x:c r="C37" s="14" t="str">
        <x:v>Assuming the event described in the current utterance proceeds or is valid, how broad would its impact on the project be?</x:v>
      </x:c>
      <x:c r="D37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</x:row>
    <x:row r="38" ht="95" customHeight="1">
      <x:c r="A38" s="14" t="str">
        <x:v>primary_affected_area</x:v>
      </x:c>
      <x:c r="B38" s="14" t="str">
        <x:v>choice</x:v>
      </x:c>
      <x:c r="C38" s="14" t="str">
        <x:v>Which project area is most directly affected by the current utterance?</x:v>
      </x:c>
      <x:c r="D38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</x:row>
    <x:row r="39" ht="95" customHeight="1">
      <x:c r="A39" s="14" t="str">
        <x:v>requires_followup</x:v>
      </x:c>
      <x:c r="B39" s="14" t="str">
        <x:v>noul</x:v>
      </x:c>
      <x:c r="C39" s="14" t="str">
        <x:v>Does the current utterance create or update something whose outcome should be checked again later?</x:v>
      </x:c>
      <x:c r="D39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</x:row>
  </x:sheetData>
  <x:mergeCells>
    <x:mergeCell ref="A1:J1"/>
    <x:mergeCell ref="D3:J3"/>
    <x:mergeCell ref="D4:J7"/>
    <x:mergeCell ref="A8:J8"/>
    <x:mergeCell ref="A9:J10"/>
    <x:mergeCell ref="A25:J25"/>
    <x:mergeCell ref="A26:J26"/>
  </x:mergeCells>
  <x:conditionalFormatting sqref="H13:H23">
    <x:cfRule type="expression" dxfId="31" priority="1">
      <x:formula>H13="ALINHADO"</x:formula>
    </x:cfRule>
    <x:cfRule type="expression" dxfId="32" priority="2">
      <x:formula>H13="FALHA"</x:formula>
    </x:cfRule>
    <x:cfRule type="expression" dxfId="33" priority="3">
      <x:formula>H13="AMBÍGUO"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46" hidden="0" customWidth="1"/>
    <x:col min="5" max="5" width="18" hidden="0" customWidth="1"/>
    <x:col min="6" max="6" width="46" hidden="0" customWidth="1"/>
    <x:col min="7" max="7" width="14" hidden="0" customWidth="1"/>
    <x:col min="8" max="8" width="15" hidden="0" customWidth="1"/>
    <x:col min="9" max="9" width="28" hidden="0" customWidth="1"/>
    <x:col min="10" max="10" width="44" hidden="0" customWidth="1"/>
  </x:cols>
  <x:sheetData>
    <x:row r="1" ht="30" customHeight="1">
      <x:c r="A1" s="43" t="str">
        <x:v>JEV-003-006 ·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>
      <x:c r="A3" s="46" t="str">
        <x:v>Model</x:v>
      </x:c>
      <x:c r="B3" t="str">
        <x:v>jev-latest</x:v>
      </x:c>
      <x:c r="D3" s="46" t="str">
        <x:v>Recent context</x:v>
      </x:c>
      <x:c r="E3" s="46"/>
      <x:c r="F3" s="46"/>
      <x:c r="G3" s="46"/>
      <x:c r="H3" s="46"/>
      <x:c r="I3" s="46"/>
      <x:c r="J3" s="46"/>
    </x:row>
    <x:row r="4">
      <x:c r="A4" s="46" t="str">
        <x:v>Question version</x:v>
      </x:c>
      <x:c r="B4" t="str">
        <x:v>v2</x:v>
      </x:c>
      <x:c r="D4" s="14" t="str">
        <x:v>Speaker A: We have been seeing too much deformation around this bracket.
Speaker B: The current part is 3 mm aluminum.
Speaker A: We haven't tested another thickness yet.</x:v>
      </x:c>
      <x:c r="E4" s="14"/>
      <x:c r="F4" s="14"/>
      <x:c r="G4" s="14"/>
      <x:c r="H4" s="14"/>
      <x:c r="I4" s="14"/>
      <x:c r="J4" s="14"/>
    </x:row>
    <x:row r="5">
      <x:c r="A5" s="46" t="str">
        <x:v>Overall status</x:v>
      </x:c>
      <x:c r="B5" t="str">
        <x:v>ALINHADO</x:v>
      </x:c>
      <x:c r="D5" s="14"/>
      <x:c r="E5" s="14"/>
      <x:c r="F5" s="14"/>
      <x:c r="G5" s="14"/>
      <x:c r="H5" s="14"/>
      <x:c r="I5" s="14"/>
      <x:c r="J5" s="14"/>
    </x:row>
    <x:row r="6">
      <x:c r="A6" s="46" t="str">
        <x:v>State ID</x:v>
      </x:c>
      <x:c r="B6" t="str">
        <x:v>JEV-003-006</x:v>
      </x:c>
      <x:c r="D6" s="14"/>
      <x:c r="E6" s="14"/>
      <x:c r="F6" s="14"/>
      <x:c r="G6" s="14"/>
      <x:c r="H6" s="14"/>
      <x:c r="I6" s="14"/>
      <x:c r="J6" s="14"/>
    </x:row>
    <x:row r="7">
      <x:c r="D7" s="14"/>
      <x:c r="E7" s="14"/>
      <x:c r="F7" s="14"/>
      <x:c r="G7" s="14"/>
      <x:c r="H7" s="14"/>
      <x:c r="I7" s="14"/>
      <x:c r="J7" s="14"/>
    </x:row>
    <x:row r="8">
      <x:c r="A8" s="46" t="str">
        <x:v>Current utterance</x:v>
      </x:c>
      <x:c r="B8" s="46"/>
      <x:c r="C8" s="46"/>
      <x:c r="D8" s="46"/>
      <x:c r="E8" s="46"/>
      <x:c r="F8" s="46"/>
      <x:c r="G8" s="46"/>
      <x:c r="H8" s="46"/>
      <x:c r="I8" s="46"/>
      <x:c r="J8" s="46"/>
    </x:row>
    <x:row r="9">
      <x:c r="A9" s="14" t="str">
        <x:v>Speaker C: Let's use aluminum in the next version.</x:v>
      </x:c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2">
      <x:c r="A12" s="50" t="str">
        <x:v>Question</x:v>
      </x:c>
      <x:c r="B12" s="50" t="str">
        <x:v>Primitive</x:v>
      </x:c>
      <x:c r="C12" s="50" t="str">
        <x:v>Expected</x:v>
      </x:c>
      <x:c r="D12" s="50" t="str">
        <x:v>Expected reason</x:v>
      </x:c>
      <x:c r="E12" s="50" t="str">
        <x:v>Actual</x:v>
      </x:c>
      <x:c r="F12" s="50" t="str">
        <x:v>Distribution</x:v>
      </x:c>
      <x:c r="G12" s="50" t="str">
        <x:v>Confidence</x:v>
      </x:c>
      <x:c r="H12" s="50" t="str">
        <x:v>Assessment</x:v>
      </x:c>
      <x:c r="I12" s="50" t="str">
        <x:v>Failure mode</x:v>
      </x:c>
      <x:c r="J12" s="50" t="str">
        <x:v>Notes</x:v>
      </x:c>
    </x:row>
    <x:row r="13" ht="72" customHeight="1">
      <x:c r="A13" s="14" t="str">
        <x:v>should_track</x:v>
      </x:c>
      <x:c r="B13" s="14" t="str">
        <x:v>noul</x:v>
      </x:c>
      <x:c r="C13" s="14" t="str">
        <x:v>true</x:v>
      </x:c>
      <x:c r="D13" s="14" t="str">
        <x:v>A concrete proposed material change should be tracked.</x:v>
      </x:c>
      <x:c r="E13" s="14" t="str">
        <x:v>true</x:v>
      </x:c>
      <x:c r="F13" s="14" t="str">
        <x:v>true 72% | false 28%</x:v>
      </x:c>
      <x:c r="G13" s="14" t="str">
        <x:v>72%</x:v>
      </x:c>
      <x:c r="H13" s="14" t="str">
        <x:v>ALINHADO</x:v>
      </x:c>
      <x:c r="I13" s="14" t="str"/>
      <x:c r="J13" s="14" t="str"/>
    </x:row>
    <x:row r="14" ht="72" customHeight="1">
      <x:c r="A14" s="14" t="str">
        <x:v>event_type</x:v>
      </x:c>
      <x:c r="B14" s="14" t="str">
        <x:v>choice</x:v>
      </x:c>
      <x:c r="C14" s="14" t="str">
        <x:v>change_proposal</x:v>
      </x:c>
      <x:c r="D14" s="14" t="str">
        <x:v>Let's use proposes a change, but does not by itself prove final approval.</x:v>
      </x:c>
      <x:c r="E14" s="14" t="str">
        <x:v>change_proposal</x:v>
      </x:c>
      <x:c r="F14" s="14" t="str">
        <x:v>change_proposal 61% | decision 38% | action_item 1% | all others 0%</x:v>
      </x:c>
      <x:c r="G14" s="14" t="str">
        <x:v>56%</x:v>
      </x:c>
      <x:c r="H14" s="14" t="str">
        <x:v>ALINHADO</x:v>
      </x:c>
      <x:c r="I14" s="14" t="str">
        <x:v>LOW_CONFIDENCE</x:v>
      </x:c>
      <x:c r="J14" s="14" t="str">
        <x:v>O modelo ficou bastante dividido entre proposta e decisão.</x:v>
      </x:c>
    </x:row>
    <x:row r="15" ht="72" customHeight="1">
      <x:c r="A15" s="14" t="str">
        <x:v>test_is_proposed</x:v>
      </x:c>
      <x:c r="B15" s="14" t="str">
        <x:v>noul</x:v>
      </x:c>
      <x:c r="C15" s="14" t="str">
        <x:v>false</x:v>
      </x:c>
      <x:c r="D15" s="14" t="str">
        <x:v>No test or validation activity is proposed.</x:v>
      </x:c>
      <x:c r="E15" s="14" t="str">
        <x:v>false</x:v>
      </x:c>
      <x:c r="F15" s="14" t="str">
        <x:v>true 7% | false 93%</x:v>
      </x:c>
      <x:c r="G15" s="14" t="str">
        <x:v>93%</x:v>
      </x:c>
      <x:c r="H15" s="14" t="str">
        <x:v>ALINHADO</x:v>
      </x:c>
      <x:c r="I15" s="14" t="str"/>
      <x:c r="J15" s="14" t="str"/>
    </x:row>
    <x:row r="16" ht="72" customHeight="1">
      <x:c r="A16" s="14" t="str">
        <x:v>decision_is_final</x:v>
      </x:c>
      <x:c r="B16" s="14" t="str">
        <x:v>noul</x:v>
      </x:c>
      <x:c r="C16" s="14" t="str">
        <x:v>false</x:v>
      </x:c>
      <x:c r="D16" s="14" t="str">
        <x:v>Let's use is a proposal unless the conversation explicitly confirms agreement or approval.</x:v>
      </x:c>
      <x:c r="E16" s="14" t="str">
        <x:v>false</x:v>
      </x:c>
      <x:c r="F16" s="14" t="str">
        <x:v>true 33% | false 67%</x:v>
      </x:c>
      <x:c r="G16" s="14" t="str">
        <x:v>67%</x:v>
      </x:c>
      <x:c r="H16" s="14" t="str">
        <x:v>ALINHADO</x:v>
      </x:c>
      <x:c r="I16" s="14" t="str"/>
      <x:c r="J16" s="14" t="str"/>
    </x:row>
    <x:row r="17" ht="72" customHeight="1">
      <x:c r="A17" s="14" t="str">
        <x:v>pending_decision</x:v>
      </x:c>
      <x:c r="B17" s="14" t="str">
        <x:v>noul</x:v>
      </x:c>
      <x:c r="C17" s="14" t="str">
        <x:v>false</x:v>
      </x:c>
      <x:c r="D17" s="14" t="str">
        <x:v>The utterance proposes a choice now but does not explicitly establish a separate future decision process.</x:v>
      </x:c>
      <x:c r="E17" s="14" t="str">
        <x:v>false</x:v>
      </x:c>
      <x:c r="F17" s="14" t="str">
        <x:v>true 29% | false 71%</x:v>
      </x:c>
      <x:c r="G17" s="14" t="str">
        <x:v>71%</x:v>
      </x:c>
      <x:c r="H17" s="14" t="str">
        <x:v>ALINHADO</x:v>
      </x:c>
      <x:c r="I17" s="14" t="str"/>
      <x:c r="J17" s="14" t="str"/>
    </x:row>
    <x:row r="18" ht="72" customHeight="1">
      <x:c r="A18" s="14" t="str">
        <x:v>creates_action_item</x:v>
      </x:c>
      <x:c r="B18" s="14" t="str">
        <x:v>noul</x:v>
      </x:c>
      <x:c r="C18" s="14" t="str">
        <x:v>true</x:v>
      </x:c>
      <x:c r="D18" s="14" t="str">
        <x:v>Using aluminum in the next version is a concrete next action if the proposal is accepted.</x:v>
      </x:c>
      <x:c r="E18" s="14" t="str">
        <x:v>true</x:v>
      </x:c>
      <x:c r="F18" s="14" t="str">
        <x:v>true 72% | false 28%</x:v>
      </x:c>
      <x:c r="G18" s="14" t="str">
        <x:v>72%</x:v>
      </x:c>
      <x:c r="H18" s="14" t="str">
        <x:v>ALINHADO</x:v>
      </x:c>
      <x:c r="I18" s="14" t="str"/>
      <x:c r="J18" s="14" t="str"/>
    </x:row>
    <x:row r="19" ht="72" customHeight="1">
      <x:c r="A19" s="14" t="str">
        <x:v>next_step_commitment</x:v>
      </x:c>
      <x:c r="B19" s="14" t="str">
        <x:v>score</x:v>
      </x:c>
      <x:c r="C19" s="14" t="str">
        <x:v>2</x:v>
      </x:c>
      <x:c r="D19" s="14" t="str">
        <x:v>A concrete next step is proposed, but explicit team agreement or assignment is not shown.</x:v>
      </x:c>
      <x:c r="E19" s="14" t="str">
        <x:v>2.16</x:v>
      </x:c>
      <x:c r="F19" s="14" t="str">
        <x:v>L0 1% | L1 2% | L2 78% | L3 19%</x:v>
      </x:c>
      <x:c r="G19" s="14" t="str">
        <x:v>77%</x:v>
      </x:c>
      <x:c r="H19" s="14" t="str">
        <x:v>ALINHADO</x:v>
      </x:c>
      <x:c r="I19" s="14" t="str"/>
      <x:c r="J19" s="14" t="str"/>
    </x:row>
    <x:row r="20" ht="72" customHeight="1">
      <x:c r="A20" s="14" t="str">
        <x:v>change_commitment</x:v>
      </x:c>
      <x:c r="B20" s="14" t="str">
        <x:v>score</x:v>
      </x:c>
      <x:c r="C20" s="14" t="str">
        <x:v>2</x:v>
      </x:c>
      <x:c r="D20" s="14" t="str">
        <x:v>The change is concrete but not explicitly final.</x:v>
      </x:c>
      <x:c r="E20" s="14" t="str">
        <x:v>2.02</x:v>
      </x:c>
      <x:c r="F20" s="14" t="str">
        <x:v>L0 8% | L1 5% | L2 64% | L3 23%</x:v>
      </x:c>
      <x:c r="G20" s="14" t="str">
        <x:v>57%</x:v>
      </x:c>
      <x:c r="H20" s="14" t="str">
        <x:v>ALINHADO</x:v>
      </x:c>
      <x:c r="I20" s="14" t="str">
        <x:v>LOW_CONFIDENCE</x:v>
      </x:c>
      <x:c r="J20" s="14" t="str">
        <x:v>Correto, mas existe sobreposição relevante com nível 3.</x:v>
      </x:c>
    </x:row>
    <x:row r="21" ht="72" customHeight="1">
      <x:c r="A21" s="14" t="str">
        <x:v>project_impact</x:v>
      </x:c>
      <x:c r="B21" s="14" t="str">
        <x:v>score</x:v>
      </x:c>
      <x:c r="C21" s="14" t="str">
        <x:v>2</x:v>
      </x:c>
      <x:c r="D21" s="14" t="str">
        <x:v>The proposed material change affects a component or near-term design decision.</x:v>
      </x:c>
      <x:c r="E21" s="14" t="str">
        <x:v>1.85</x:v>
      </x:c>
      <x:c r="F21" s="14" t="str">
        <x:v>L0 7% | L1 8% | L2 77% | L3 8%</x:v>
      </x:c>
      <x:c r="G21" s="14" t="str">
        <x:v>70%</x:v>
      </x:c>
      <x:c r="H21" s="14" t="str">
        <x:v>ALINHADO</x:v>
      </x:c>
      <x:c r="I21" s="14" t="str"/>
      <x:c r="J21" s="14" t="str"/>
    </x:row>
    <x:row r="22" ht="72" customHeight="1">
      <x:c r="A22" s="14" t="str">
        <x:v>primary_affected_area</x:v>
      </x:c>
      <x:c r="B22" s="14" t="str">
        <x:v>choice</x:v>
      </x:c>
      <x:c r="C22" s="14" t="str">
        <x:v>material</x:v>
      </x:c>
      <x:c r="D22" s="14" t="str">
        <x:v>The proposed change is directly about material selection.</x:v>
      </x:c>
      <x:c r="E22" s="14" t="str">
        <x:v>material</x:v>
      </x:c>
      <x:c r="F22" s="14" t="str">
        <x:v>material 99% | design 1% | all others 0%</x:v>
      </x:c>
      <x:c r="G22" s="14" t="str">
        <x:v>98%</x:v>
      </x:c>
      <x:c r="H22" s="14" t="str">
        <x:v>ALINHADO</x:v>
      </x:c>
      <x:c r="I22" s="14" t="str"/>
      <x:c r="J22" s="14" t="str"/>
    </x:row>
    <x:row r="23" ht="72" customHeight="1">
      <x:c r="A23" s="14" t="str">
        <x:v>requires_followup</x:v>
      </x:c>
      <x:c r="B23" s="14" t="str">
        <x:v>noul</x:v>
      </x:c>
      <x:c r="C23" s="14" t="str">
        <x:v>true</x:v>
      </x:c>
      <x:c r="D23" s="14" t="str">
        <x:v>The proposal should remain tracked until it is accepted, rejected, or implemented.</x:v>
      </x:c>
      <x:c r="E23" s="14" t="str">
        <x:v>true</x:v>
      </x:c>
      <x:c r="F23" s="14" t="str">
        <x:v>true 88% | false 12%</x:v>
      </x:c>
      <x:c r="G23" s="14" t="str">
        <x:v>88%</x:v>
      </x:c>
      <x:c r="H23" s="14" t="str">
        <x:v>ALINHADO</x:v>
      </x:c>
      <x:c r="I23" s="14" t="str"/>
      <x:c r="J23" s="14" t="str"/>
    </x:row>
    <x:row r="25">
      <x:c r="A25" s="46" t="str">
        <x:v>Case notes</x:v>
      </x:c>
      <x:c r="B25" s="46"/>
      <x:c r="C25" s="46"/>
      <x:c r="D25" s="46"/>
      <x:c r="E25" s="46"/>
      <x:c r="F25" s="46"/>
      <x:c r="G25" s="46"/>
      <x:c r="H25" s="46"/>
      <x:c r="I25" s="46"/>
      <x:c r="J25" s="46"/>
    </x:row>
    <x:row r="26">
      <x:c r="A26" s="14" t="str">
        <x:v>As respostas principais ficaram alinhadas. event_type ficou dividido entre change_proposal e decision, o que vale monitorar.</x:v>
      </x:c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8">
      <x:c r="A28" s="46" t="str">
        <x:v>Question</x:v>
      </x:c>
      <x:c r="B28" s="46" t="str">
        <x:v>Primitive</x:v>
      </x:c>
      <x:c r="C28" s="46" t="str">
        <x:v>Instruction</x:v>
      </x:c>
      <x:c r="D28" s="46" t="str">
        <x:v>Criteria</x:v>
      </x:c>
    </x:row>
    <x:row r="29" ht="95" customHeight="1">
      <x:c r="A29" s="14" t="str">
        <x:v>should_track</x:v>
      </x:c>
      <x:c r="B29" s="14" t="str">
        <x:v>noul</x:v>
      </x:c>
      <x:c r="C29" s="14" t="str">
        <x:v>Should the current utterance create a new tracked project item or update an existing tracked item?</x:v>
      </x:c>
      <x:c r="D29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</x:row>
    <x:row r="30" ht="95" customHeight="1">
      <x:c r="A30" s="14" t="str">
        <x:v>event_type</x:v>
      </x:c>
      <x:c r="B30" s="14" t="str">
        <x:v>choice</x:v>
      </x:c>
      <x:c r="C30" s="14" t="str">
        <x:v>Classify the primary project event expressed in the current utterance.</x:v>
      </x:c>
      <x:c r="D30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</x:row>
    <x:row r="31" ht="95" customHeight="1">
      <x:c r="A31" s="14" t="str">
        <x:v>test_is_proposed</x:v>
      </x:c>
      <x:c r="B31" s="14" t="str">
        <x:v>noul</x:v>
      </x:c>
      <x:c r="C31" s="14" t="str">
        <x:v>Does the current utterance explicitly propose performing a test, experiment, prototype, trial, measurement, validation, or comparison?</x:v>
      </x:c>
      <x:c r="D31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</x:row>
    <x:row r="32" ht="95" customHeight="1">
      <x:c r="A32" s="14" t="str">
        <x:v>decision_is_final</x:v>
      </x:c>
      <x:c r="B32" s="14" t="str">
        <x:v>noul</x:v>
      </x:c>
      <x:c r="C32" s="14" t="str">
        <x:v>Does the current utterance commit the project to a choice or change now, without waiting for a future test, condition, approval, or unresolved decision?</x:v>
      </x:c>
      <x:c r="D32" s="14" t="str">
        <x:v>TRUE: The choice or change should be treated as decided and active now. FALSE: It is exploratory, conditional, proposed, waiting on evidence or approval, or no decision is present.</x:v>
      </x:c>
    </x:row>
    <x:row r="33" ht="95" customHeight="1">
      <x:c r="A33" s="14" t="str">
        <x:v>pending_decision</x:v>
      </x:c>
      <x:c r="B33" s="14" t="str">
        <x:v>noul</x:v>
      </x:c>
      <x:c r="C33" s="14" t="str">
        <x:v>Does the current utterance establish that a specific project decision is still unresolved and must be made later?</x:v>
      </x:c>
      <x:c r="D33" s="14" t="str">
        <x:v>TRUE: A specific future decision remains open and may depend on a test, evidence, approval, or another condition. FALSE: No future decision is established, or the relevant decision is already final.</x:v>
      </x:c>
    </x:row>
    <x:row r="34" ht="95" customHeight="1">
      <x:c r="A34" s="14" t="str">
        <x:v>creates_action_item</x:v>
      </x:c>
      <x:c r="B34" s="14" t="str">
        <x:v>noul</x:v>
      </x:c>
      <x:c r="C34" s="14" t="str">
        <x:v>Does the current utterance establish a concrete task or next action that someone should perform?</x:v>
      </x:c>
      <x:c r="D34" s="14" t="str">
        <x:v>TRUE: A specific activity should be performed, even if no person or deadline is explicitly assigned. FALSE: The utterance only discusses, observes, hypothesizes, or evaluates something without establishing a concrete action.</x:v>
      </x:c>
    </x:row>
    <x:row r="35" ht="95" customHeight="1">
      <x:c r="A35" s="14" t="str">
        <x:v>next_step_commitment</x:v>
      </x:c>
      <x:c r="B35" s="14" t="str">
        <x:v>score</x:v>
      </x:c>
      <x:c r="C35" s="14" t="str">
        <x:v>How strongly does the current utterance commit the team to performing the stated next step?</x:v>
      </x:c>
      <x:c r="D35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</x:row>
    <x:row r="36" ht="95" customHeight="1">
      <x:c r="A36" s="14" t="str">
        <x:v>change_commitment</x:v>
      </x:c>
      <x:c r="B36" s="14" t="str">
        <x:v>score</x:v>
      </x:c>
      <x:c r="C36" s="14" t="str">
        <x:v>How committed is the project to the underlying project change itself, excluding commitment to testing or discussing it?</x:v>
      </x:c>
      <x:c r="D36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</x:row>
    <x:row r="37" ht="95" customHeight="1">
      <x:c r="A37" s="14" t="str">
        <x:v>project_impact</x:v>
      </x:c>
      <x:c r="B37" s="14" t="str">
        <x:v>score</x:v>
      </x:c>
      <x:c r="C37" s="14" t="str">
        <x:v>Assuming the event described in the current utterance proceeds or is valid, how broad would its impact on the project be?</x:v>
      </x:c>
      <x:c r="D37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</x:row>
    <x:row r="38" ht="95" customHeight="1">
      <x:c r="A38" s="14" t="str">
        <x:v>primary_affected_area</x:v>
      </x:c>
      <x:c r="B38" s="14" t="str">
        <x:v>choice</x:v>
      </x:c>
      <x:c r="C38" s="14" t="str">
        <x:v>Which project area is most directly affected by the current utterance?</x:v>
      </x:c>
      <x:c r="D38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</x:row>
    <x:row r="39" ht="95" customHeight="1">
      <x:c r="A39" s="14" t="str">
        <x:v>requires_followup</x:v>
      </x:c>
      <x:c r="B39" s="14" t="str">
        <x:v>noul</x:v>
      </x:c>
      <x:c r="C39" s="14" t="str">
        <x:v>Does the current utterance create or update something whose outcome should be checked again later?</x:v>
      </x:c>
      <x:c r="D39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</x:row>
  </x:sheetData>
  <x:mergeCells>
    <x:mergeCell ref="A1:J1"/>
    <x:mergeCell ref="D3:J3"/>
    <x:mergeCell ref="D4:J7"/>
    <x:mergeCell ref="A8:J8"/>
    <x:mergeCell ref="A9:J10"/>
    <x:mergeCell ref="A25:J25"/>
    <x:mergeCell ref="A26:J26"/>
  </x:mergeCells>
  <x:conditionalFormatting sqref="H13:H23">
    <x:cfRule type="expression" dxfId="34" priority="1">
      <x:formula>H13="ALINHADO"</x:formula>
    </x:cfRule>
    <x:cfRule type="expression" dxfId="35" priority="2">
      <x:formula>H13="FALHA"</x:formula>
    </x:cfRule>
    <x:cfRule type="expression" dxfId="36" priority="3">
      <x:formula>H13="AMBÍGUO"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46" hidden="0" customWidth="1"/>
    <x:col min="5" max="5" width="18" hidden="0" customWidth="1"/>
    <x:col min="6" max="6" width="46" hidden="0" customWidth="1"/>
    <x:col min="7" max="7" width="14" hidden="0" customWidth="1"/>
    <x:col min="8" max="8" width="15" hidden="0" customWidth="1"/>
    <x:col min="9" max="9" width="28" hidden="0" customWidth="1"/>
    <x:col min="10" max="10" width="44" hidden="0" customWidth="1"/>
  </x:cols>
  <x:sheetData>
    <x:row r="1" ht="30" customHeight="1">
      <x:c r="A1" s="43" t="str">
        <x:v>JEV-003-007 ·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>
      <x:c r="A3" s="46" t="str">
        <x:v>Model</x:v>
      </x:c>
      <x:c r="B3" t="str">
        <x:v>jev-latest</x:v>
      </x:c>
      <x:c r="D3" s="46" t="str">
        <x:v>Recent context</x:v>
      </x:c>
      <x:c r="E3" s="46"/>
      <x:c r="F3" s="46"/>
      <x:c r="G3" s="46"/>
      <x:c r="H3" s="46"/>
      <x:c r="I3" s="46"/>
      <x:c r="J3" s="46"/>
    </x:row>
    <x:row r="4">
      <x:c r="A4" s="46" t="str">
        <x:v>Question version</x:v>
      </x:c>
      <x:c r="B4" t="str">
        <x:v>v2</x:v>
      </x:c>
      <x:c r="D4" s="14" t="str">
        <x:v>Speaker A: We have been seeing too much deformation around this bracket.
Speaker B: The current part is 3 mm aluminum.
Speaker A: We haven't tested another thickness yet.</x:v>
      </x:c>
      <x:c r="E4" s="14"/>
      <x:c r="F4" s="14"/>
      <x:c r="G4" s="14"/>
      <x:c r="H4" s="14"/>
      <x:c r="I4" s="14"/>
      <x:c r="J4" s="14"/>
    </x:row>
    <x:row r="5">
      <x:c r="A5" s="46" t="str">
        <x:v>Overall status</x:v>
      </x:c>
      <x:c r="B5" t="str">
        <x:v>ALINHADO</x:v>
      </x:c>
      <x:c r="D5" s="14"/>
      <x:c r="E5" s="14"/>
      <x:c r="F5" s="14"/>
      <x:c r="G5" s="14"/>
      <x:c r="H5" s="14"/>
      <x:c r="I5" s="14"/>
      <x:c r="J5" s="14"/>
    </x:row>
    <x:row r="6">
      <x:c r="A6" s="46" t="str">
        <x:v>State ID</x:v>
      </x:c>
      <x:c r="B6" t="str">
        <x:v>JEV-003-007</x:v>
      </x:c>
      <x:c r="D6" s="14"/>
      <x:c r="E6" s="14"/>
      <x:c r="F6" s="14"/>
      <x:c r="G6" s="14"/>
      <x:c r="H6" s="14"/>
      <x:c r="I6" s="14"/>
      <x:c r="J6" s="14"/>
    </x:row>
    <x:row r="7">
      <x:c r="D7" s="14"/>
      <x:c r="E7" s="14"/>
      <x:c r="F7" s="14"/>
      <x:c r="G7" s="14"/>
      <x:c r="H7" s="14"/>
      <x:c r="I7" s="14"/>
      <x:c r="J7" s="14"/>
    </x:row>
    <x:row r="8">
      <x:c r="A8" s="46" t="str">
        <x:v>Current utterance</x:v>
      </x:c>
      <x:c r="B8" s="46"/>
      <x:c r="C8" s="46"/>
      <x:c r="D8" s="46"/>
      <x:c r="E8" s="46"/>
      <x:c r="F8" s="46"/>
      <x:c r="G8" s="46"/>
      <x:c r="H8" s="46"/>
      <x:c r="I8" s="46"/>
      <x:c r="J8" s="46"/>
    </x:row>
    <x:row r="9">
      <x:c r="A9" s="14" t="str">
        <x:v>Speaker C: We are switching the final design to aluminum.</x:v>
      </x:c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2">
      <x:c r="A12" s="50" t="str">
        <x:v>Question</x:v>
      </x:c>
      <x:c r="B12" s="50" t="str">
        <x:v>Primitive</x:v>
      </x:c>
      <x:c r="C12" s="50" t="str">
        <x:v>Expected</x:v>
      </x:c>
      <x:c r="D12" s="50" t="str">
        <x:v>Expected reason</x:v>
      </x:c>
      <x:c r="E12" s="50" t="str">
        <x:v>Actual</x:v>
      </x:c>
      <x:c r="F12" s="50" t="str">
        <x:v>Distribution</x:v>
      </x:c>
      <x:c r="G12" s="50" t="str">
        <x:v>Confidence</x:v>
      </x:c>
      <x:c r="H12" s="50" t="str">
        <x:v>Assessment</x:v>
      </x:c>
      <x:c r="I12" s="50" t="str">
        <x:v>Failure mode</x:v>
      </x:c>
      <x:c r="J12" s="50" t="str">
        <x:v>Notes</x:v>
      </x:c>
    </x:row>
    <x:row r="13" ht="72" customHeight="1">
      <x:c r="A13" s="14" t="str">
        <x:v>should_track</x:v>
      </x:c>
      <x:c r="B13" s="14" t="str">
        <x:v>noul</x:v>
      </x:c>
      <x:c r="C13" s="14" t="str">
        <x:v>true</x:v>
      </x:c>
      <x:c r="D13" s="14" t="str">
        <x:v>A final design decision must update the tracked project state.</x:v>
      </x:c>
      <x:c r="E13" s="14" t="str">
        <x:v>true</x:v>
      </x:c>
      <x:c r="F13" s="14" t="str">
        <x:v>true 84% | false 16%</x:v>
      </x:c>
      <x:c r="G13" s="14" t="str">
        <x:v>84%</x:v>
      </x:c>
      <x:c r="H13" s="14" t="str">
        <x:v>ALINHADO</x:v>
      </x:c>
      <x:c r="I13" s="14" t="str"/>
      <x:c r="J13" s="14" t="str"/>
    </x:row>
    <x:row r="14" ht="72" customHeight="1">
      <x:c r="A14" s="14" t="str">
        <x:v>event_type</x:v>
      </x:c>
      <x:c r="B14" s="14" t="str">
        <x:v>choice</x:v>
      </x:c>
      <x:c r="C14" s="14" t="str">
        <x:v>decision</x:v>
      </x:c>
      <x:c r="D14" s="14" t="str">
        <x:v>The sentence explicitly states that the final design is being changed.</x:v>
      </x:c>
      <x:c r="E14" s="14" t="str">
        <x:v>decision</x:v>
      </x:c>
      <x:c r="F14" s="14" t="str">
        <x:v>decision 99% | change_proposal 1% | all others 0%</x:v>
      </x:c>
      <x:c r="G14" s="14" t="str">
        <x:v>99%</x:v>
      </x:c>
      <x:c r="H14" s="14" t="str">
        <x:v>ALINHADO</x:v>
      </x:c>
      <x:c r="I14" s="14" t="str"/>
      <x:c r="J14" s="14" t="str"/>
    </x:row>
    <x:row r="15" ht="72" customHeight="1">
      <x:c r="A15" s="14" t="str">
        <x:v>test_is_proposed</x:v>
      </x:c>
      <x:c r="B15" s="14" t="str">
        <x:v>noul</x:v>
      </x:c>
      <x:c r="C15" s="14" t="str">
        <x:v>false</x:v>
      </x:c>
      <x:c r="D15" s="14" t="str">
        <x:v>No test is proposed.</x:v>
      </x:c>
      <x:c r="E15" s="14" t="str">
        <x:v>false</x:v>
      </x:c>
      <x:c r="F15" s="14" t="str">
        <x:v>true 3% | false 97%</x:v>
      </x:c>
      <x:c r="G15" s="14" t="str">
        <x:v>97%</x:v>
      </x:c>
      <x:c r="H15" s="14" t="str">
        <x:v>ALINHADO</x:v>
      </x:c>
      <x:c r="I15" s="14" t="str"/>
      <x:c r="J15" s="14" t="str"/>
    </x:row>
    <x:row r="16" ht="72" customHeight="1">
      <x:c r="A16" s="14" t="str">
        <x:v>decision_is_final</x:v>
      </x:c>
      <x:c r="B16" s="14" t="str">
        <x:v>noul</x:v>
      </x:c>
      <x:c r="C16" s="14" t="str">
        <x:v>true</x:v>
      </x:c>
      <x:c r="D16" s="14" t="str">
        <x:v>The wording states the final design is switching now.</x:v>
      </x:c>
      <x:c r="E16" s="14" t="str">
        <x:v>true</x:v>
      </x:c>
      <x:c r="F16" s="14" t="str">
        <x:v>true 87% | false 13%</x:v>
      </x:c>
      <x:c r="G16" s="14" t="str">
        <x:v>87%</x:v>
      </x:c>
      <x:c r="H16" s="14" t="str">
        <x:v>ALINHADO</x:v>
      </x:c>
      <x:c r="I16" s="14" t="str"/>
      <x:c r="J16" s="14" t="str"/>
    </x:row>
    <x:row r="17" ht="72" customHeight="1">
      <x:c r="A17" s="14" t="str">
        <x:v>pending_decision</x:v>
      </x:c>
      <x:c r="B17" s="14" t="str">
        <x:v>noul</x:v>
      </x:c>
      <x:c r="C17" s="14" t="str">
        <x:v>false</x:v>
      </x:c>
      <x:c r="D17" s="14" t="str">
        <x:v>The relevant decision is already final.</x:v>
      </x:c>
      <x:c r="E17" s="14" t="str">
        <x:v>false</x:v>
      </x:c>
      <x:c r="F17" s="14" t="str">
        <x:v>true 9% | false 91%</x:v>
      </x:c>
      <x:c r="G17" s="14" t="str">
        <x:v>91%</x:v>
      </x:c>
      <x:c r="H17" s="14" t="str">
        <x:v>ALINHADO</x:v>
      </x:c>
      <x:c r="I17" s="14" t="str"/>
      <x:c r="J17" s="14" t="str"/>
    </x:row>
    <x:row r="18" ht="72" customHeight="1">
      <x:c r="A18" s="14" t="str">
        <x:v>creates_action_item</x:v>
      </x:c>
      <x:c r="B18" s="14" t="str">
        <x:v>noul</x:v>
      </x:c>
      <x:c r="C18" s="14" t="str">
        <x:v>true</x:v>
      </x:c>
      <x:c r="D18" s="14" t="str">
        <x:v>Switching the final design establishes a concrete implementation action, even without an assignee.</x:v>
      </x:c>
      <x:c r="E18" s="14" t="str">
        <x:v>true</x:v>
      </x:c>
      <x:c r="F18" s="14" t="str">
        <x:v>true 52% | false 48%</x:v>
      </x:c>
      <x:c r="G18" s="14" t="str">
        <x:v>52%</x:v>
      </x:c>
      <x:c r="H18" s="14" t="str">
        <x:v>ALINHADO</x:v>
      </x:c>
      <x:c r="I18" s="14" t="str">
        <x:v>VERY_LOW_MARGIN</x:v>
      </x:c>
      <x:c r="J18" s="14" t="str">
        <x:v>A resposta principal está correta, mas quase empatada.</x:v>
      </x:c>
    </x:row>
    <x:row r="19" ht="72" customHeight="1">
      <x:c r="A19" s="14" t="str">
        <x:v>next_step_commitment</x:v>
      </x:c>
      <x:c r="B19" s="14" t="str">
        <x:v>score</x:v>
      </x:c>
      <x:c r="C19" s="14" t="str">
        <x:v>3</x:v>
      </x:c>
      <x:c r="D19" s="14" t="str">
        <x:v>The statement says the change is being carried out.</x:v>
      </x:c>
      <x:c r="E19" s="14" t="str">
        <x:v>2.83</x:v>
      </x:c>
      <x:c r="F19" s="14" t="str">
        <x:v>L0 2% | L1 1% | L2 10% | L3 87%</x:v>
      </x:c>
      <x:c r="G19" s="14" t="str">
        <x:v>83%</x:v>
      </x:c>
      <x:c r="H19" s="14" t="str">
        <x:v>ALINHADO</x:v>
      </x:c>
      <x:c r="I19" s="14" t="str"/>
      <x:c r="J19" s="14" t="str"/>
    </x:row>
    <x:row r="20" ht="72" customHeight="1">
      <x:c r="A20" s="14" t="str">
        <x:v>change_commitment</x:v>
      </x:c>
      <x:c r="B20" s="14" t="str">
        <x:v>score</x:v>
      </x:c>
      <x:c r="C20" s="14" t="str">
        <x:v>3</x:v>
      </x:c>
      <x:c r="D20" s="14" t="str">
        <x:v>The change is explicitly final and active.</x:v>
      </x:c>
      <x:c r="E20" s="14" t="str">
        <x:v>2.97</x:v>
      </x:c>
      <x:c r="F20" s="14" t="str">
        <x:v>L0 0% | L1 0% | L2 1% | L3 99%</x:v>
      </x:c>
      <x:c r="G20" s="14" t="str">
        <x:v>97%</x:v>
      </x:c>
      <x:c r="H20" s="14" t="str">
        <x:v>ALINHADO</x:v>
      </x:c>
      <x:c r="I20" s="14" t="str"/>
      <x:c r="J20" s="14" t="str"/>
    </x:row>
    <x:row r="21" ht="72" customHeight="1">
      <x:c r="A21" s="14" t="str">
        <x:v>project_impact</x:v>
      </x:c>
      <x:c r="B21" s="14" t="str">
        <x:v>score</x:v>
      </x:c>
      <x:c r="C21" s="14" t="str">
        <x:v>3</x:v>
      </x:c>
      <x:c r="D21" s="14" t="str">
        <x:v>A final material change to the final design is a major project change.</x:v>
      </x:c>
      <x:c r="E21" s="14" t="str">
        <x:v>2.53</x:v>
      </x:c>
      <x:c r="F21" s="14" t="str">
        <x:v>L0 3% | L1 3% | L2 31% | L3 63%</x:v>
      </x:c>
      <x:c r="G21" s="14" t="str">
        <x:v>53%</x:v>
      </x:c>
      <x:c r="H21" s="14" t="str">
        <x:v>ALINHADO</x:v>
      </x:c>
      <x:c r="I21" s="14" t="str">
        <x:v>LOW_CONFIDENCE</x:v>
      </x:c>
      <x:c r="J21" s="14" t="str">
        <x:v>O nível 3 venceu, mas ainda há 31% no nível 2.</x:v>
      </x:c>
    </x:row>
    <x:row r="22" ht="72" customHeight="1">
      <x:c r="A22" s="14" t="str">
        <x:v>primary_affected_area</x:v>
      </x:c>
      <x:c r="B22" s="14" t="str">
        <x:v>choice</x:v>
      </x:c>
      <x:c r="C22" s="14" t="str">
        <x:v>material</x:v>
      </x:c>
      <x:c r="D22" s="14" t="str">
        <x:v>The final change is specifically about material selection.</x:v>
      </x:c>
      <x:c r="E22" s="14" t="str">
        <x:v>material</x:v>
      </x:c>
      <x:c r="F22" s="14" t="str">
        <x:v>material 96% | design 4% | all others 0%</x:v>
      </x:c>
      <x:c r="G22" s="14" t="str">
        <x:v>96%</x:v>
      </x:c>
      <x:c r="H22" s="14" t="str">
        <x:v>ALINHADO</x:v>
      </x:c>
      <x:c r="I22" s="14" t="str"/>
      <x:c r="J22" s="14" t="str"/>
    </x:row>
    <x:row r="23" ht="72" customHeight="1">
      <x:c r="A23" s="14" t="str">
        <x:v>requires_followup</x:v>
      </x:c>
      <x:c r="B23" s="14" t="str">
        <x:v>noul</x:v>
      </x:c>
      <x:c r="C23" s="14" t="str">
        <x:v>true</x:v>
      </x:c>
      <x:c r="D23" s="14" t="str">
        <x:v>A final decision should update the tracked item and remain visible through implementation.</x:v>
      </x:c>
      <x:c r="E23" s="14" t="str">
        <x:v>true</x:v>
      </x:c>
      <x:c r="F23" s="14" t="str">
        <x:v>true 89% | false 11%</x:v>
      </x:c>
      <x:c r="G23" s="14" t="str">
        <x:v>89%</x:v>
      </x:c>
      <x:c r="H23" s="14" t="str">
        <x:v>ALINHADO</x:v>
      </x:c>
      <x:c r="I23" s="14" t="str"/>
      <x:c r="J23" s="14" t="str"/>
    </x:row>
    <x:row r="25">
      <x:c r="A25" s="46" t="str">
        <x:v>Case notes</x:v>
      </x:c>
      <x:c r="B25" s="46"/>
      <x:c r="C25" s="46"/>
      <x:c r="D25" s="46"/>
      <x:c r="E25" s="46"/>
      <x:c r="F25" s="46"/>
      <x:c r="G25" s="46"/>
      <x:c r="H25" s="46"/>
      <x:c r="I25" s="46"/>
      <x:c r="J25" s="46"/>
    </x:row>
    <x:row r="26">
      <x:c r="A26" s="14" t="str">
        <x:v>Todas as respostas principais ficaram alinhadas. creates_action_item e project_impact tiveram margem menor do que as demais.</x:v>
      </x:c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8">
      <x:c r="A28" s="46" t="str">
        <x:v>Question</x:v>
      </x:c>
      <x:c r="B28" s="46" t="str">
        <x:v>Primitive</x:v>
      </x:c>
      <x:c r="C28" s="46" t="str">
        <x:v>Instruction</x:v>
      </x:c>
      <x:c r="D28" s="46" t="str">
        <x:v>Criteria</x:v>
      </x:c>
    </x:row>
    <x:row r="29" ht="95" customHeight="1">
      <x:c r="A29" s="14" t="str">
        <x:v>should_track</x:v>
      </x:c>
      <x:c r="B29" s="14" t="str">
        <x:v>noul</x:v>
      </x:c>
      <x:c r="C29" s="14" t="str">
        <x:v>Should the current utterance create a new tracked project item or update an existing tracked item?</x:v>
      </x:c>
      <x:c r="D29" s="14" t="str">
        <x:v>TRUE: It introduces or materially updates a concrete test, test result, proposed change, decision, assigned action, unresolved risk, requirement, or open question whose outcome matters later. FALSE: It is background information, casual conversation, repetition, isolated logistics, clarification with no project consequence, or an unrelated side conversation.</x:v>
      </x:c>
    </x:row>
    <x:row r="30" ht="95" customHeight="1">
      <x:c r="A30" s="14" t="str">
        <x:v>event_type</x:v>
      </x:c>
      <x:c r="B30" s="14" t="str">
        <x:v>choice</x:v>
      </x:c>
      <x:c r="C30" s="14" t="str">
        <x:v>Classify the primary project event expressed in the current utterance.</x:v>
      </x:c>
      <x:c r="D30" s="14" t="str">
        <x:v>observation: Reports factual project information without a more specific event type. hypothesis: Suggests a possible explanation, cause, effect, or possibility without proposing a concrete test or change. test_proposal: Proposes performing an experiment, prototype, trial, measurement, validation, or comparison. test_result: Reports an outcome, measurement, or conclusion produced by a test or experiment. change_proposal: Proposes changing the design, material, dimension, process, requirement, schedule, or another project property without final approval. decision: Explicitly commits the project to a choice or change. action_item: Establishes a concrete task that should be performed. risk: Identifies a possible negative outcome or project risk. requirement: Establishes or changes a constraint or condition that the project must satisfy. none: No meaningful project event is expressed.</x:v>
      </x:c>
    </x:row>
    <x:row r="31" ht="95" customHeight="1">
      <x:c r="A31" s="14" t="str">
        <x:v>test_is_proposed</x:v>
      </x:c>
      <x:c r="B31" s="14" t="str">
        <x:v>noul</x:v>
      </x:c>
      <x:c r="C31" s="14" t="str">
        <x:v>Does the current utterance explicitly propose performing a test, experiment, prototype, trial, measurement, validation, or comparison?</x:v>
      </x:c>
      <x:c r="D31" s="14" t="str">
        <x:v>TRUE: The speaker proposes actually performing a concrete activity to learn, compare alternatives, validate something, or reduce uncertainty. FALSE: The speaker only wonders, speculates, asks a question, reports a result, or mentions a possibility without proposing that an activity be performed.</x:v>
      </x:c>
    </x:row>
    <x:row r="32" ht="95" customHeight="1">
      <x:c r="A32" s="14" t="str">
        <x:v>decision_is_final</x:v>
      </x:c>
      <x:c r="B32" s="14" t="str">
        <x:v>noul</x:v>
      </x:c>
      <x:c r="C32" s="14" t="str">
        <x:v>Does the current utterance commit the project to a choice or change now, without waiting for a future test, condition, approval, or unresolved decision?</x:v>
      </x:c>
      <x:c r="D32" s="14" t="str">
        <x:v>TRUE: The choice or change should be treated as decided and active now. FALSE: It is exploratory, conditional, proposed, waiting on evidence or approval, or no decision is present.</x:v>
      </x:c>
    </x:row>
    <x:row r="33" ht="95" customHeight="1">
      <x:c r="A33" s="14" t="str">
        <x:v>pending_decision</x:v>
      </x:c>
      <x:c r="B33" s="14" t="str">
        <x:v>noul</x:v>
      </x:c>
      <x:c r="C33" s="14" t="str">
        <x:v>Does the current utterance establish that a specific project decision is still unresolved and must be made later?</x:v>
      </x:c>
      <x:c r="D33" s="14" t="str">
        <x:v>TRUE: A specific future decision remains open and may depend on a test, evidence, approval, or another condition. FALSE: No future decision is established, or the relevant decision is already final.</x:v>
      </x:c>
    </x:row>
    <x:row r="34" ht="95" customHeight="1">
      <x:c r="A34" s="14" t="str">
        <x:v>creates_action_item</x:v>
      </x:c>
      <x:c r="B34" s="14" t="str">
        <x:v>noul</x:v>
      </x:c>
      <x:c r="C34" s="14" t="str">
        <x:v>Does the current utterance establish a concrete task or next action that someone should perform?</x:v>
      </x:c>
      <x:c r="D34" s="14" t="str">
        <x:v>TRUE: A specific activity should be performed, even if no person or deadline is explicitly assigned. FALSE: The utterance only discusses, observes, hypothesizes, or evaluates something without establishing a concrete action.</x:v>
      </x:c>
    </x:row>
    <x:row r="35" ht="95" customHeight="1">
      <x:c r="A35" s="14" t="str">
        <x:v>next_step_commitment</x:v>
      </x:c>
      <x:c r="B35" s="14" t="str">
        <x:v>score</x:v>
      </x:c>
      <x:c r="C35" s="14" t="str">
        <x:v>How strongly does the current utterance commit the team to performing the stated next step?</x:v>
      </x:c>
      <x:c r="D35" s="14" t="str">
        <x:v>0: No next step is established, or the statement is only speculation. 1: A possible next step is mentioned or considered. 2: A concrete next step is proposed or intended, but agreement or assignment is not explicit. 3: The next step is explicitly agreed, assigned, scheduled, or stated as something that will be done.</x:v>
      </x:c>
    </x:row>
    <x:row r="36" ht="95" customHeight="1">
      <x:c r="A36" s="14" t="str">
        <x:v>change_commitment</x:v>
      </x:c>
      <x:c r="B36" s="14" t="str">
        <x:v>score</x:v>
      </x:c>
      <x:c r="C36" s="14" t="str">
        <x:v>How committed is the project to the underlying project change itself, excluding commitment to testing or discussing it?</x:v>
      </x:c>
      <x:c r="D36" s="14" t="str">
        <x:v>0: No project change is being considered. 1: A possible change is being explored or considered. 2: A concrete change is proposed or conditionally intended but is not final. 3: The change is explicitly decided, approved, or already active.</x:v>
      </x:c>
    </x:row>
    <x:row r="37" ht="95" customHeight="1">
      <x:c r="A37" s="14" t="str">
        <x:v>project_impact</x:v>
      </x:c>
      <x:c r="B37" s="14" t="str">
        <x:v>score</x:v>
      </x:c>
      <x:c r="C37" s="14" t="str">
        <x:v>Assuming the event described in the current utterance proceeds or is valid, how broad would its impact on the project be?</x:v>
      </x:c>
      <x:c r="D37" s="14" t="str">
        <x:v>0: No meaningful project impact. 1: Minor local effect with little consequence beyond the immediate discussion or documentation. 2: Moderate effect on a component, test, task, or near-term engineering decision. 3: High effect on major design, requirements, safety, architecture, cost, schedule, or multiple project areas.</x:v>
      </x:c>
    </x:row>
    <x:row r="38" ht="95" customHeight="1">
      <x:c r="A38" s="14" t="str">
        <x:v>primary_affected_area</x:v>
      </x:c>
      <x:c r="B38" s="14" t="str">
        <x:v>choice</x:v>
      </x:c>
      <x:c r="C38" s="14" t="str">
        <x:v>Which project area is most directly affected by the current utterance?</x:v>
      </x:c>
      <x:c r="D38" s="14" t="str">
        <x:v>design: Geometry, dimensions, architecture, configuration, or physical design. material: Material selection, grade, composition, treatment, or material properties. manufacturing: Fabrication, assembly, tooling, or production process. performance: Measured behavior, strength, efficiency, functionality, or performance. cost: Budget, price, purchasing, or financial impact. schedule: Timing, deadlines, sequence, delivery, or schedule. safety: Safety, compliance, hazards, or failure risk. process: Team workflow, review procedure, documentation, or organizational process. other: None of these areas is clearly the primary area.</x:v>
      </x:c>
    </x:row>
    <x:row r="39" ht="95" customHeight="1">
      <x:c r="A39" s="14" t="str">
        <x:v>requires_followup</x:v>
      </x:c>
      <x:c r="B39" s="14" t="str">
        <x:v>noul</x:v>
      </x:c>
      <x:c r="C39" s="14" t="str">
        <x:v>Does the current utterance create or update something whose outcome should be checked again later?</x:v>
      </x:c>
      <x:c r="D39" s="14" t="str">
        <x:v>TRUE: It creates or updates a test, pending decision, unresolved question, proposed change, risk, assigned action, requirement, or result that affects a later step. FALSE: Nothing introduced or updated here needs future tracking.</x:v>
      </x:c>
    </x:row>
  </x:sheetData>
  <x:mergeCells>
    <x:mergeCell ref="A1:J1"/>
    <x:mergeCell ref="D3:J3"/>
    <x:mergeCell ref="D4:J7"/>
    <x:mergeCell ref="A8:J8"/>
    <x:mergeCell ref="A9:J10"/>
    <x:mergeCell ref="A25:J25"/>
    <x:mergeCell ref="A26:J26"/>
  </x:mergeCells>
  <x:conditionalFormatting sqref="H13:H23">
    <x:cfRule type="expression" dxfId="37" priority="1">
      <x:formula>H13="ALINHADO"</x:formula>
    </x:cfRule>
    <x:cfRule type="expression" dxfId="38" priority="2">
      <x:formula>H13="FALHA"</x:formula>
    </x:cfRule>
    <x:cfRule type="expression" dxfId="39" priority="3">
      <x:formula>H13="AMBÍGUO"</x:formula>
    </x:cfRule>
  </x:conditionalFormatting>
  <x:pageMargins left="0.7" right="0.7" top="0.75" bottom="0.75" header="0.3" footer="0.3"/>
</x:worksheet>
</file>